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cr" ContentType="image/.rcr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customUI/images/5e58317e-0ab1-466e-a1bc-c16f9f5acf43.png" ContentType="image/.png"/>
  <Override PartName="/customUI/images/afb0d2f0-95c0-447c-b983-95b446bbdcd1.png" ContentType="image/.png"/>
  <Override PartName="/customUI/images/86769140-8cde-4474-a49c-43c2835aa3bd.png" ContentType="image/.png"/>
  <Override PartName="/customUI/images/239eefc1-6e69-4442-af66-b1e0d4d86f74.png" ContentType="image/.png"/>
  <Override PartName="/customUI/images/8aa0fd19-2245-4891-b6d9-7731ee63884f.png" ContentType="image/.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589a78d9622b4677" Type="http://schemas.microsoft.com/office/2007/relationships/ui/extensibility" Target="customUI/customUI14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8/calcfeatures" ns1:Ignorable="x15 xr xr6 xr10 xr2">
  <ns0:fileVersion appName="xl" lastEdited="7" lowestEdited="7" rupBuild="26227" codeName="{37A63EE7-654F-3FA9-A528-636911D70600}"/>
  <ns0:workbookPr defaultThemeVersion="124226"/>
  <ns2:revisionPtr revIDLastSave="0" documentId="13_ncr:1_{21DDC595-5693-4AEE-A52E-72300D82AA19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DashBoard" sheetId="5" ns6:id="rId2"/>
    <ns0:sheet name="Veriler" sheetId="1" ns6:id="rId3"/>
    <ns0:sheet name="calc" sheetId="11" state="hidden" ns6:id="rId4"/>
    <ns0:sheet name="Statement" sheetId="10" state="hidden" ns6:id="rId5"/>
    <ns0:sheet name="ChartsDataSheet" sheetId="9" state="hidden" ns6:id="rId6"/>
  </ns0:sheets>
  <ns0:externalReferences>
    <ns0:externalReference ns6:id="rId7"/>
    <ns0:externalReference ns6:id="rId8"/>
    <ns0:externalReference ns6:id="rId9"/>
    <ns0:externalReference ns6:id="rId10"/>
    <ns0:externalReference ns6:id="rId11"/>
    <ns0:externalReference ns6:id="rId12"/>
    <ns0:externalReference ns6:id="rId13"/>
    <ns0:externalReference ns6:id="rId14"/>
  </ns0:externalReferences>
  <ns0:definedNames>
    <ns0:definedName name="DolarKuru">[2]Ürünlerim!$G$2</ns0:definedName>
    <ns0:definedName name="EuroKuru">[2]Ürünlerim!$G$3</ns0:definedName>
    <ns0:definedName name="ListMonths">Veriler!$C$41:$C$52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fileRecoveryPr autoRecover="0"/>
  <ns0:extLst>
    <ns0: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</ns7:calcFeatures>
    </ns0:ext>
  </ns0:extLst>
</ns0:workbook>
</file>

<file path=xl/calcChain.xml><?xml version="1.0" encoding="utf-8"?>
<calcChain xmlns="http://schemas.openxmlformats.org/spreadsheetml/2006/main">
  <c r="V5" i="5" l="1"/>
  <c r="BUG121" i="9" l="1"/>
  <c r="BUE121" i="9"/>
  <c r="BUG120" i="9"/>
  <c r="BUE120" i="9"/>
  <c r="BUG119" i="9"/>
  <c r="BUE119" i="9"/>
  <c r="BUG118" i="9"/>
  <c r="BUE118" i="9"/>
  <c r="BUG117" i="9"/>
  <c r="BUE117" i="9"/>
  <c r="BUG116" i="9"/>
  <c r="BUE116" i="9"/>
  <c r="BUG115" i="9"/>
  <c r="BUE115" i="9"/>
  <c r="BUG114" i="9"/>
  <c r="BUE114" i="9"/>
  <c r="BUG113" i="9"/>
  <c r="BUE113" i="9"/>
  <c r="BUG112" i="9"/>
  <c r="BUE112" i="9"/>
  <c r="BUG111" i="9"/>
  <c r="BUE111" i="9"/>
  <c r="BUG110" i="9"/>
  <c r="BUE110" i="9"/>
  <c r="BUG109" i="9"/>
  <c r="BUE109" i="9"/>
  <c r="BUG108" i="9"/>
  <c r="BUE108" i="9"/>
  <c r="BUG107" i="9"/>
  <c r="BUE107" i="9"/>
  <c r="BUG106" i="9"/>
  <c r="BUE106" i="9"/>
  <c r="BUG105" i="9"/>
  <c r="BUE105" i="9"/>
  <c r="BUG104" i="9"/>
  <c r="BUE104" i="9"/>
  <c r="BUG103" i="9"/>
  <c r="BUE103" i="9"/>
  <c r="BUG102" i="9"/>
  <c r="BUE102" i="9"/>
  <c r="BUG101" i="9"/>
  <c r="BUE101" i="9"/>
  <c r="BUG100" i="9"/>
  <c r="BUE100" i="9"/>
  <c r="BUG99" i="9"/>
  <c r="BUE99" i="9"/>
  <c r="BUG98" i="9"/>
  <c r="BUE98" i="9"/>
  <c r="BUG97" i="9"/>
  <c r="BUE97" i="9"/>
  <c r="BUG96" i="9"/>
  <c r="BUE96" i="9"/>
  <c r="BUG95" i="9"/>
  <c r="BUE95" i="9"/>
  <c r="BUG94" i="9"/>
  <c r="BUE94" i="9"/>
  <c r="BUG93" i="9"/>
  <c r="BUE93" i="9"/>
  <c r="BUI98" i="9"/>
  <c r="BUI119" i="9" s="1"/>
  <c r="BUI118" i="9" s="1"/>
  <c r="BUH119" i="9"/>
  <c r="BUH118" i="9" s="1"/>
  <c r="BUH115" i="9"/>
  <c r="BUH111" i="9"/>
  <c r="BUH110" i="9"/>
  <c r="BUH109" i="9"/>
  <c r="BUH105" i="9"/>
  <c r="BUH104" i="9"/>
  <c r="BUH103" i="9" s="1"/>
  <c r="BUH99" i="9"/>
  <c r="BUH97" i="9"/>
  <c r="BUG92" i="9"/>
  <c r="BUE92" i="9"/>
  <c r="DA3" i="9"/>
  <c r="CY3" i="9"/>
  <c r="BUD120" i="9"/>
  <c r="BUD113" i="9"/>
  <c r="BUD98" i="9"/>
  <c r="BUD119" i="9"/>
  <c r="BUD99" i="9"/>
  <c r="BUD97" i="9"/>
  <c r="BUD93" i="9"/>
  <c r="BUD116" i="9"/>
  <c r="BUD121" i="9"/>
  <c r="BUD114" i="9"/>
  <c r="BUD101" i="9"/>
  <c r="BUD102" i="9"/>
  <c r="BUD108" i="9"/>
  <c r="BUD111" i="9"/>
  <c r="BUD103" i="9"/>
  <c r="BUD109" i="9"/>
  <c r="BUD118" i="9"/>
  <c r="BUD117" i="9"/>
  <c r="BUD106" i="9"/>
  <c r="BUD115" i="9"/>
  <c r="BUD95" i="9"/>
  <c r="BUD105" i="9"/>
  <c r="BUD104" i="9"/>
  <c r="BUD112" i="9"/>
  <c r="BUD100" i="9"/>
  <c r="BUD110" i="9"/>
  <c r="BUD107" i="9"/>
  <c r="BUD92" i="9"/>
  <c r="BUD96" i="9"/>
  <c r="BUD94" i="9"/>
  <c r="BUI97" i="9" l="1"/>
  <c r="BUI105" i="9"/>
  <c r="BUI110" i="9"/>
  <c r="BUI99" i="9"/>
  <c r="BUI104" i="9"/>
  <c r="BUI103" i="9" s="1"/>
  <c r="BUI109" i="9"/>
  <c r="BUI115" i="9"/>
  <c r="BUJ98" i="9"/>
  <c r="BUI111" i="9"/>
  <c r="F15" i="1"/>
  <c r="G15" i="1"/>
  <c r="H15" i="1"/>
  <c r="I15" i="1"/>
  <c r="J15" i="1"/>
  <c r="K15" i="1"/>
  <c r="L15" i="1"/>
  <c r="M15" i="1"/>
  <c r="N15" i="1"/>
  <c r="O15" i="1"/>
  <c r="P15" i="1"/>
  <c r="E15" i="1"/>
  <c r="CX3" i="9"/>
  <c r="BUJ115" i="9" l="1"/>
  <c r="BUJ109" i="9"/>
  <c r="BUJ104" i="9"/>
  <c r="BUJ103" i="9" s="1"/>
  <c r="BUJ99" i="9"/>
  <c r="BUJ110" i="9"/>
  <c r="BUJ105" i="9"/>
  <c r="BUJ119" i="9"/>
  <c r="BUJ118" i="9" s="1"/>
  <c r="BUJ111" i="9"/>
  <c r="BUK98" i="9"/>
  <c r="BUJ97" i="9"/>
  <c r="G20" i="11"/>
  <c r="C37" i="1"/>
  <c r="BUK115" i="9" l="1"/>
  <c r="BUK109" i="9"/>
  <c r="BUK104" i="9"/>
  <c r="BUK103" i="9" s="1"/>
  <c r="BUK99" i="9"/>
  <c r="BUK110" i="9"/>
  <c r="BUK105" i="9"/>
  <c r="BUK119" i="9"/>
  <c r="BUK118" i="9" s="1"/>
  <c r="BUK111" i="9"/>
  <c r="BUL98" i="9"/>
  <c r="BUK97" i="9"/>
  <c r="AC5" i="11"/>
  <c r="AD5" i="11"/>
  <c r="AE5" i="11"/>
  <c r="U5" i="11"/>
  <c r="V5" i="11"/>
  <c r="W5" i="11"/>
  <c r="X5" i="11"/>
  <c r="Y5" i="11"/>
  <c r="Z5" i="11"/>
  <c r="AA5" i="11"/>
  <c r="AB5" i="11"/>
  <c r="T5" i="11"/>
  <c r="CJQ3" i="9"/>
  <c r="CJO3" i="9"/>
  <c r="CJW3" i="9"/>
  <c r="E14" i="11"/>
  <c r="E11" i="11"/>
  <c r="E12" i="11"/>
  <c r="E13" i="11"/>
  <c r="E5" i="11"/>
  <c r="E6" i="11"/>
  <c r="E7" i="11"/>
  <c r="E8" i="11"/>
  <c r="E9" i="11"/>
  <c r="E10" i="11"/>
  <c r="E4" i="11"/>
  <c r="CJN3" i="9"/>
  <c r="FE3" i="9" l="1"/>
  <c r="BUS93" i="9"/>
  <c r="EZ3" i="9"/>
  <c r="BUR93" i="9"/>
  <c r="BUQ93" i="9"/>
  <c r="EU3" i="9"/>
  <c r="BUP93" i="9"/>
  <c r="EP3" i="9"/>
  <c r="EK3" i="9"/>
  <c r="BUO93" i="9"/>
  <c r="EF3" i="9"/>
  <c r="BUN93" i="9"/>
  <c r="BUM93" i="9"/>
  <c r="EA3" i="9"/>
  <c r="BUL93" i="9"/>
  <c r="DV3" i="9"/>
  <c r="BUK93" i="9"/>
  <c r="DQ3" i="9"/>
  <c r="DL3" i="9"/>
  <c r="BUJ93" i="9"/>
  <c r="BUI93" i="9"/>
  <c r="DG3" i="9"/>
  <c r="BUH93" i="9"/>
  <c r="DB3" i="9"/>
  <c r="BUL110" i="9"/>
  <c r="BUL105" i="9"/>
  <c r="BUL119" i="9"/>
  <c r="BUL118" i="9" s="1"/>
  <c r="BUL111" i="9"/>
  <c r="BUM98" i="9"/>
  <c r="BUL97" i="9"/>
  <c r="BUL115" i="9"/>
  <c r="BUL109" i="9"/>
  <c r="BUL104" i="9"/>
  <c r="BUL103" i="9" s="1"/>
  <c r="BUL99" i="9"/>
  <c r="O9" i="1"/>
  <c r="P9" i="1"/>
  <c r="O22" i="1"/>
  <c r="P22" i="1"/>
  <c r="BUM119" i="9" l="1"/>
  <c r="BUM118" i="9" s="1"/>
  <c r="BUM111" i="9"/>
  <c r="BUN98" i="9"/>
  <c r="BUM97" i="9"/>
  <c r="BUM115" i="9"/>
  <c r="BUM109" i="9"/>
  <c r="BUM104" i="9"/>
  <c r="BUM103" i="9" s="1"/>
  <c r="BUM99" i="9"/>
  <c r="BUM110" i="9"/>
  <c r="BUM105" i="9"/>
  <c r="P11" i="1"/>
  <c r="P13" i="1" s="1"/>
  <c r="P14" i="1" s="1"/>
  <c r="AE6" i="11"/>
  <c r="AD6" i="11"/>
  <c r="O11" i="1"/>
  <c r="O13" i="1" s="1"/>
  <c r="O14" i="1" s="1"/>
  <c r="BUR94" i="9" l="1"/>
  <c r="FA3" i="9"/>
  <c r="FB3" i="9" s="1"/>
  <c r="BUS94" i="9"/>
  <c r="FF3" i="9"/>
  <c r="FG3" i="9" s="1"/>
  <c r="BUN115" i="9"/>
  <c r="BUN109" i="9"/>
  <c r="BUN104" i="9"/>
  <c r="BUN103" i="9" s="1"/>
  <c r="BUN99" i="9"/>
  <c r="BUN110" i="9"/>
  <c r="BUN105" i="9"/>
  <c r="BUN119" i="9"/>
  <c r="BUN118" i="9" s="1"/>
  <c r="BUN111" i="9"/>
  <c r="BUO98" i="9"/>
  <c r="BUN97" i="9"/>
  <c r="O24" i="1"/>
  <c r="P37" i="1"/>
  <c r="P24" i="1"/>
  <c r="O37" i="1"/>
  <c r="FD3" i="9" l="1"/>
  <c r="FC3" i="9"/>
  <c r="FI3" i="9"/>
  <c r="FH3" i="9"/>
  <c r="BUS113" i="9"/>
  <c r="BUS107" i="9"/>
  <c r="BUS100" i="9"/>
  <c r="BUS121" i="9"/>
  <c r="BUS120" i="9"/>
  <c r="BUS106" i="9"/>
  <c r="BUS101" i="9"/>
  <c r="BUR113" i="9"/>
  <c r="BUR121" i="9"/>
  <c r="BUR100" i="9"/>
  <c r="BUR120" i="9"/>
  <c r="BUR106" i="9"/>
  <c r="BUR107" i="9"/>
  <c r="BUR101" i="9"/>
  <c r="BUO115" i="9"/>
  <c r="BUO109" i="9"/>
  <c r="BUO104" i="9"/>
  <c r="BUO103" i="9" s="1"/>
  <c r="BUO99" i="9"/>
  <c r="BUO110" i="9"/>
  <c r="BUO105" i="9"/>
  <c r="BUO119" i="9"/>
  <c r="BUO118" i="9" s="1"/>
  <c r="BUO111" i="9"/>
  <c r="BUP98" i="9"/>
  <c r="BUO97" i="9"/>
  <c r="E22" i="1"/>
  <c r="F22" i="1"/>
  <c r="E9" i="1"/>
  <c r="F9" i="1"/>
  <c r="BUP110" i="9" l="1"/>
  <c r="BUP105" i="9"/>
  <c r="BUP119" i="9"/>
  <c r="BUP118" i="9" s="1"/>
  <c r="BUP111" i="9"/>
  <c r="BUQ98" i="9"/>
  <c r="BUP97" i="9"/>
  <c r="BUP115" i="9"/>
  <c r="BUP109" i="9"/>
  <c r="BUP104" i="9"/>
  <c r="BUP103" i="9" s="1"/>
  <c r="BUP99" i="9"/>
  <c r="U6" i="11"/>
  <c r="T6" i="11"/>
  <c r="F11" i="1"/>
  <c r="F13" i="1" s="1"/>
  <c r="F14" i="1" s="1"/>
  <c r="E11" i="1"/>
  <c r="E13" i="1" s="1"/>
  <c r="E14" i="1" s="1"/>
  <c r="BUH94" i="9" l="1"/>
  <c r="DC3" i="9"/>
  <c r="DD3" i="9" s="1"/>
  <c r="BUI94" i="9"/>
  <c r="DH3" i="9"/>
  <c r="DI3" i="9" s="1"/>
  <c r="BUQ119" i="9"/>
  <c r="BUQ118" i="9" s="1"/>
  <c r="BUQ111" i="9"/>
  <c r="BUR98" i="9"/>
  <c r="BUQ97" i="9"/>
  <c r="BUQ115" i="9"/>
  <c r="BUQ109" i="9"/>
  <c r="BUQ104" i="9"/>
  <c r="BUQ103" i="9" s="1"/>
  <c r="BUQ99" i="9"/>
  <c r="BUQ110" i="9"/>
  <c r="BUQ105" i="9"/>
  <c r="F24" i="1"/>
  <c r="E24" i="1"/>
  <c r="DJ3" i="9" l="1"/>
  <c r="DK3" i="9"/>
  <c r="BUI113" i="9"/>
  <c r="BUI101" i="9"/>
  <c r="BUI100" i="9"/>
  <c r="BUI120" i="9"/>
  <c r="BUI107" i="9"/>
  <c r="BUI106" i="9"/>
  <c r="BUI121" i="9"/>
  <c r="DE3" i="9"/>
  <c r="DF3" i="9"/>
  <c r="BUH113" i="9"/>
  <c r="BUH100" i="9"/>
  <c r="BUH120" i="9"/>
  <c r="BUH121" i="9"/>
  <c r="BUH106" i="9"/>
  <c r="BUH107" i="9"/>
  <c r="BUH101" i="9"/>
  <c r="BUR115" i="9"/>
  <c r="BUR109" i="9"/>
  <c r="BUR104" i="9"/>
  <c r="BUR103" i="9" s="1"/>
  <c r="BUR99" i="9"/>
  <c r="BUR110" i="9"/>
  <c r="BUR105" i="9"/>
  <c r="BUR119" i="9"/>
  <c r="BUR118" i="9" s="1"/>
  <c r="BUR111" i="9"/>
  <c r="BUS98" i="9"/>
  <c r="BUR97" i="9"/>
  <c r="BJJ2" i="9"/>
  <c r="BJH2" i="9"/>
  <c r="BIP2" i="9"/>
  <c r="BIS2" i="9" s="1"/>
  <c r="V3" i="9"/>
  <c r="T3" i="9"/>
  <c r="H3" i="9"/>
  <c r="D3" i="9" s="1"/>
  <c r="BF3" i="9" s="1"/>
  <c r="B3" i="9"/>
  <c r="C3" i="9" s="1"/>
  <c r="BG3" i="9" s="1"/>
  <c r="BJG2" i="9"/>
  <c r="S3" i="9"/>
  <c r="BUS115" i="9" l="1"/>
  <c r="BUS109" i="9"/>
  <c r="BUS104" i="9"/>
  <c r="BUS103" i="9" s="1"/>
  <c r="BUS99" i="9"/>
  <c r="BUS110" i="9"/>
  <c r="BUS105" i="9"/>
  <c r="BUS119" i="9"/>
  <c r="BUS118" i="9" s="1"/>
  <c r="BUS111" i="9"/>
  <c r="BUS97" i="9"/>
  <c r="BIV2" i="9"/>
  <c r="BIU2" i="9"/>
  <c r="BIT2" i="9"/>
  <c r="E3" i="9"/>
  <c r="BE3" i="9" s="1"/>
  <c r="BUG91" i="9"/>
  <c r="BUE91" i="9"/>
  <c r="BUG90" i="9"/>
  <c r="BUE90" i="9"/>
  <c r="BUG89" i="9"/>
  <c r="BUE89" i="9"/>
  <c r="BUG88" i="9"/>
  <c r="BUE88" i="9"/>
  <c r="BUG87" i="9"/>
  <c r="BUE87" i="9"/>
  <c r="BUG86" i="9"/>
  <c r="BUE86" i="9"/>
  <c r="BUG85" i="9"/>
  <c r="BUE85" i="9"/>
  <c r="BUG84" i="9"/>
  <c r="BUE84" i="9"/>
  <c r="BUG83" i="9"/>
  <c r="BUE83" i="9"/>
  <c r="BUG82" i="9"/>
  <c r="BUE82" i="9"/>
  <c r="BUG81" i="9"/>
  <c r="BUE81" i="9"/>
  <c r="BUG80" i="9"/>
  <c r="BUE80" i="9"/>
  <c r="BUG79" i="9"/>
  <c r="BUE79" i="9"/>
  <c r="BUG78" i="9"/>
  <c r="BUE78" i="9"/>
  <c r="BUG77" i="9"/>
  <c r="BUE77" i="9"/>
  <c r="BUG76" i="9"/>
  <c r="BUE76" i="9"/>
  <c r="BUG75" i="9"/>
  <c r="BUE75" i="9"/>
  <c r="BUG74" i="9"/>
  <c r="BUE74" i="9"/>
  <c r="BUG73" i="9"/>
  <c r="BUE73" i="9"/>
  <c r="BUG72" i="9"/>
  <c r="BUE72" i="9"/>
  <c r="BUG71" i="9"/>
  <c r="BUE71" i="9"/>
  <c r="BUG70" i="9"/>
  <c r="BUE70" i="9"/>
  <c r="BUG69" i="9"/>
  <c r="BUE69" i="9"/>
  <c r="BUG68" i="9"/>
  <c r="BUE68" i="9"/>
  <c r="BUG67" i="9"/>
  <c r="BUE67" i="9"/>
  <c r="BUG66" i="9"/>
  <c r="BUE66" i="9"/>
  <c r="BUG65" i="9"/>
  <c r="BUE65" i="9"/>
  <c r="BUG64" i="9"/>
  <c r="BUE64" i="9"/>
  <c r="BUG63" i="9"/>
  <c r="BUE63" i="9"/>
  <c r="BUS64" i="9"/>
  <c r="BUS83" i="9" s="1"/>
  <c r="BUR64" i="9"/>
  <c r="BUR83" i="9" s="1"/>
  <c r="BUQ64" i="9"/>
  <c r="BUP64" i="9"/>
  <c r="BUP83" i="9" s="1"/>
  <c r="BUO64" i="9"/>
  <c r="BUN64" i="9"/>
  <c r="BUN83" i="9" s="1"/>
  <c r="BUM64" i="9"/>
  <c r="BUM83" i="9" s="1"/>
  <c r="BUL64" i="9"/>
  <c r="BUL83" i="9" s="1"/>
  <c r="BUK64" i="9"/>
  <c r="BUJ64" i="9"/>
  <c r="BUJ83" i="9" s="1"/>
  <c r="BUI64" i="9"/>
  <c r="BUI83" i="9" s="1"/>
  <c r="BUH64" i="9"/>
  <c r="BUH83" i="9" s="1"/>
  <c r="BUS63" i="9"/>
  <c r="BUS76" i="9" s="1"/>
  <c r="BUR63" i="9"/>
  <c r="BUR90" i="9" s="1"/>
  <c r="BUQ63" i="9"/>
  <c r="BUQ76" i="9" s="1"/>
  <c r="BUP63" i="9"/>
  <c r="BUP76" i="9" s="1"/>
  <c r="BUO63" i="9"/>
  <c r="BUO90" i="9" s="1"/>
  <c r="BUN63" i="9"/>
  <c r="BUN90" i="9" s="1"/>
  <c r="BUM63" i="9"/>
  <c r="BUM90" i="9" s="1"/>
  <c r="BUL63" i="9"/>
  <c r="BUL76" i="9" s="1"/>
  <c r="BUK63" i="9"/>
  <c r="BUK76" i="9" s="1"/>
  <c r="BUJ63" i="9"/>
  <c r="BUJ71" i="9" s="1"/>
  <c r="BUI63" i="9"/>
  <c r="BUI77" i="9" s="1"/>
  <c r="BUH63" i="9"/>
  <c r="BUH76" i="9" s="1"/>
  <c r="BUS91" i="9"/>
  <c r="BUR91" i="9"/>
  <c r="BUQ91" i="9"/>
  <c r="BUP91" i="9"/>
  <c r="BUO91" i="9"/>
  <c r="BUN91" i="9"/>
  <c r="BUM91" i="9"/>
  <c r="BUK91" i="9"/>
  <c r="BUK90" i="9"/>
  <c r="BUQ83" i="9"/>
  <c r="BUO83" i="9"/>
  <c r="BUK83" i="9"/>
  <c r="BUS77" i="9"/>
  <c r="BUO76" i="9"/>
  <c r="BUK71" i="9"/>
  <c r="BUO70" i="9"/>
  <c r="BUI68" i="9"/>
  <c r="BUI89" i="9" s="1"/>
  <c r="BUI88" i="9" s="1"/>
  <c r="BUH89" i="9"/>
  <c r="BUH88" i="9" s="1"/>
  <c r="BUH85" i="9"/>
  <c r="BUH81" i="9"/>
  <c r="BUH80" i="9"/>
  <c r="BUH79" i="9"/>
  <c r="BUH75" i="9"/>
  <c r="BUH74" i="9"/>
  <c r="BUH73" i="9" s="1"/>
  <c r="BUH69" i="9"/>
  <c r="BUH67" i="9"/>
  <c r="BUG62" i="9"/>
  <c r="BUE62" i="9"/>
  <c r="BUD68" i="9"/>
  <c r="BUD62" i="9"/>
  <c r="BUD84" i="9"/>
  <c r="BUD89" i="9"/>
  <c r="BUD82" i="9"/>
  <c r="BUD70" i="9"/>
  <c r="BUD83" i="9"/>
  <c r="BUD87" i="9"/>
  <c r="BUD64" i="9"/>
  <c r="BUD72" i="9"/>
  <c r="BUD90" i="9"/>
  <c r="BUD79" i="9"/>
  <c r="BUD85" i="9"/>
  <c r="BUD73" i="9"/>
  <c r="BUD86" i="9"/>
  <c r="BUD71" i="9"/>
  <c r="BUD77" i="9"/>
  <c r="BUD63" i="9"/>
  <c r="BUD76" i="9"/>
  <c r="BUD91" i="9"/>
  <c r="BUD81" i="9"/>
  <c r="BUD66" i="9"/>
  <c r="BUD80" i="9"/>
  <c r="BUD69" i="9"/>
  <c r="BUD67" i="9"/>
  <c r="BUD65" i="9"/>
  <c r="BUD75" i="9"/>
  <c r="BUD74" i="9"/>
  <c r="BUD88" i="9"/>
  <c r="BUD78" i="9"/>
  <c r="BUS90" i="9" l="1"/>
  <c r="BUI91" i="9"/>
  <c r="BUJ91" i="9"/>
  <c r="BUO71" i="9"/>
  <c r="BUR76" i="9"/>
  <c r="BUK77" i="9"/>
  <c r="BUL91" i="9"/>
  <c r="BUI76" i="9"/>
  <c r="BUP77" i="9"/>
  <c r="BUH90" i="9"/>
  <c r="BUK70" i="9"/>
  <c r="BUS71" i="9"/>
  <c r="BUP71" i="9"/>
  <c r="BUL70" i="9"/>
  <c r="BUH70" i="9"/>
  <c r="BUP70" i="9"/>
  <c r="BUL77" i="9"/>
  <c r="BUH71" i="9"/>
  <c r="BUS70" i="9"/>
  <c r="BUO77" i="9"/>
  <c r="BUN71" i="9"/>
  <c r="BUR71" i="9"/>
  <c r="BUP90" i="9"/>
  <c r="BUL90" i="9"/>
  <c r="BUM71" i="9"/>
  <c r="BUQ71" i="9"/>
  <c r="BUQ70" i="9"/>
  <c r="BUM76" i="9"/>
  <c r="BUM77" i="9"/>
  <c r="BUJ77" i="9"/>
  <c r="BUJ68" i="9"/>
  <c r="BUK68" i="9" s="1"/>
  <c r="BUN70" i="9"/>
  <c r="BUR70" i="9"/>
  <c r="BUN76" i="9"/>
  <c r="BUN77" i="9"/>
  <c r="BUR77" i="9"/>
  <c r="BUM70" i="9"/>
  <c r="BUQ77" i="9"/>
  <c r="BUQ90" i="9"/>
  <c r="BUI67" i="9"/>
  <c r="BUJ70" i="9"/>
  <c r="BUH77" i="9"/>
  <c r="BUH91" i="9"/>
  <c r="BUL71" i="9"/>
  <c r="BUJ90" i="9"/>
  <c r="BUJ76" i="9"/>
  <c r="BUI71" i="9"/>
  <c r="BUI90" i="9"/>
  <c r="BUI70" i="9"/>
  <c r="BUI75" i="9"/>
  <c r="BUI80" i="9"/>
  <c r="BUI69" i="9"/>
  <c r="BUI74" i="9"/>
  <c r="BUI73" i="9" s="1"/>
  <c r="BUI79" i="9"/>
  <c r="BUI85" i="9"/>
  <c r="BUI81" i="9"/>
  <c r="BUS33" i="9"/>
  <c r="BUR33" i="9"/>
  <c r="BUQ33" i="9"/>
  <c r="BUP33" i="9"/>
  <c r="BUO33" i="9"/>
  <c r="BUN33" i="9"/>
  <c r="BUM33" i="9"/>
  <c r="BUL33" i="9"/>
  <c r="BUK33" i="9"/>
  <c r="BUJ33" i="9"/>
  <c r="BUI33" i="9"/>
  <c r="BUH33" i="9"/>
  <c r="BUI3" i="9"/>
  <c r="BUJ3" i="9"/>
  <c r="BUK3" i="9"/>
  <c r="BUL3" i="9"/>
  <c r="BUM3" i="9"/>
  <c r="BUN3" i="9"/>
  <c r="BUO3" i="9"/>
  <c r="BUP3" i="9"/>
  <c r="BUQ3" i="9"/>
  <c r="BUR3" i="9"/>
  <c r="BUS3" i="9"/>
  <c r="BUH3" i="9"/>
  <c r="BUJ75" i="9" l="1"/>
  <c r="BUJ79" i="9"/>
  <c r="BUJ81" i="9"/>
  <c r="BUJ69" i="9"/>
  <c r="BUJ80" i="9"/>
  <c r="BUJ74" i="9"/>
  <c r="BUJ73" i="9" s="1"/>
  <c r="BUJ89" i="9"/>
  <c r="BUJ88" i="9" s="1"/>
  <c r="BUJ85" i="9"/>
  <c r="BUJ67" i="9"/>
  <c r="BUK85" i="9"/>
  <c r="BUK79" i="9"/>
  <c r="BUK74" i="9"/>
  <c r="BUK73" i="9" s="1"/>
  <c r="BUK69" i="9"/>
  <c r="BUK80" i="9"/>
  <c r="BUK75" i="9"/>
  <c r="BUK89" i="9"/>
  <c r="BUK88" i="9" s="1"/>
  <c r="BUK81" i="9"/>
  <c r="BUL68" i="9"/>
  <c r="BUK67" i="9"/>
  <c r="BYC8" i="9"/>
  <c r="BYA8" i="9"/>
  <c r="BYC7" i="9"/>
  <c r="BYA7" i="9"/>
  <c r="BYC6" i="9"/>
  <c r="BYA6" i="9"/>
  <c r="BYC5" i="9"/>
  <c r="BYA5" i="9"/>
  <c r="BYC4" i="9"/>
  <c r="BYA4" i="9"/>
  <c r="BYC3" i="9"/>
  <c r="BYA3" i="9"/>
  <c r="BYD8" i="9"/>
  <c r="BYD7" i="9"/>
  <c r="BYD6" i="9"/>
  <c r="BYD5" i="9"/>
  <c r="BYD4" i="9"/>
  <c r="BYD3" i="9"/>
  <c r="BYD2" i="9"/>
  <c r="BYC2" i="9"/>
  <c r="BYA2" i="9"/>
  <c r="BXZ6" i="9"/>
  <c r="BXZ8" i="9"/>
  <c r="BXZ5" i="9"/>
  <c r="BXZ3" i="9"/>
  <c r="BXZ2" i="9"/>
  <c r="BXZ7" i="9"/>
  <c r="BXZ4" i="9"/>
  <c r="BUL80" i="9" l="1"/>
  <c r="BUL75" i="9"/>
  <c r="BUL89" i="9"/>
  <c r="BUL88" i="9" s="1"/>
  <c r="BUL81" i="9"/>
  <c r="BUM68" i="9"/>
  <c r="BUL67" i="9"/>
  <c r="BUL85" i="9"/>
  <c r="BUL79" i="9"/>
  <c r="BUL74" i="9"/>
  <c r="BUL73" i="9" s="1"/>
  <c r="BUL69" i="9"/>
  <c r="G9" i="1"/>
  <c r="G11" i="1" s="1"/>
  <c r="G13" i="1" s="1"/>
  <c r="G14" i="1" s="1"/>
  <c r="H9" i="1"/>
  <c r="H11" i="1" s="1"/>
  <c r="H13" i="1" s="1"/>
  <c r="H14" i="1" s="1"/>
  <c r="I9" i="1"/>
  <c r="I11" i="1" s="1"/>
  <c r="I13" i="1" s="1"/>
  <c r="I14" i="1" s="1"/>
  <c r="J9" i="1"/>
  <c r="J11" i="1" s="1"/>
  <c r="J13" i="1" s="1"/>
  <c r="J14" i="1" s="1"/>
  <c r="K9" i="1"/>
  <c r="K11" i="1" s="1"/>
  <c r="K13" i="1" s="1"/>
  <c r="K14" i="1" s="1"/>
  <c r="L9" i="1"/>
  <c r="L11" i="1" s="1"/>
  <c r="L13" i="1" s="1"/>
  <c r="L14" i="1" s="1"/>
  <c r="M9" i="1"/>
  <c r="N9" i="1"/>
  <c r="N11" i="1" s="1"/>
  <c r="N13" i="1" s="1"/>
  <c r="N14" i="1" s="1"/>
  <c r="V6" i="11"/>
  <c r="W6" i="11"/>
  <c r="X6" i="11"/>
  <c r="Y6" i="11"/>
  <c r="Z6" i="11"/>
  <c r="AA6" i="11"/>
  <c r="AB6" i="11"/>
  <c r="AC6" i="11"/>
  <c r="BUO94" i="9" l="1"/>
  <c r="EL3" i="9"/>
  <c r="EM3" i="9" s="1"/>
  <c r="BUK94" i="9"/>
  <c r="DR3" i="9"/>
  <c r="DS3" i="9" s="1"/>
  <c r="BUN94" i="9"/>
  <c r="EG3" i="9"/>
  <c r="EH3" i="9" s="1"/>
  <c r="BUJ94" i="9"/>
  <c r="DM3" i="9"/>
  <c r="DN3" i="9" s="1"/>
  <c r="BUM94" i="9"/>
  <c r="EB3" i="9"/>
  <c r="EC3" i="9" s="1"/>
  <c r="BUQ94" i="9"/>
  <c r="EV3" i="9"/>
  <c r="EW3" i="9" s="1"/>
  <c r="BUP94" i="9"/>
  <c r="EQ3" i="9"/>
  <c r="ER3" i="9" s="1"/>
  <c r="BUL94" i="9"/>
  <c r="DW3" i="9"/>
  <c r="DX3" i="9" s="1"/>
  <c r="M11" i="1"/>
  <c r="BUM89" i="9"/>
  <c r="BUM88" i="9" s="1"/>
  <c r="BUM81" i="9"/>
  <c r="BUN68" i="9"/>
  <c r="BUM67" i="9"/>
  <c r="BUM85" i="9"/>
  <c r="BUM79" i="9"/>
  <c r="BUM74" i="9"/>
  <c r="BUM73" i="9" s="1"/>
  <c r="BUM69" i="9"/>
  <c r="BUM80" i="9"/>
  <c r="BUM75" i="9"/>
  <c r="BUR4" i="9"/>
  <c r="BUR34" i="9"/>
  <c r="BUJ34" i="9"/>
  <c r="BUJ4" i="9"/>
  <c r="BUP34" i="9"/>
  <c r="BUP4" i="9"/>
  <c r="BUH34" i="9"/>
  <c r="BUH4" i="9"/>
  <c r="BUN34" i="9"/>
  <c r="BUN4" i="9"/>
  <c r="BUQ4" i="9"/>
  <c r="BUQ34" i="9"/>
  <c r="BUI4" i="9"/>
  <c r="BUI34" i="9"/>
  <c r="BUL34" i="9"/>
  <c r="BUL4" i="9"/>
  <c r="BUS34" i="9"/>
  <c r="BUS4" i="9"/>
  <c r="BUO34" i="9"/>
  <c r="BUO4" i="9"/>
  <c r="BUK4" i="9"/>
  <c r="BUK34" i="9"/>
  <c r="BUM34" i="9"/>
  <c r="BUM4" i="9"/>
  <c r="BUG61" i="9"/>
  <c r="BUE61" i="9"/>
  <c r="BUG60" i="9"/>
  <c r="BUE60" i="9"/>
  <c r="BUG59" i="9"/>
  <c r="BUE59" i="9"/>
  <c r="BUG58" i="9"/>
  <c r="BUE58" i="9"/>
  <c r="BUG57" i="9"/>
  <c r="BUE57" i="9"/>
  <c r="BUG56" i="9"/>
  <c r="BUE56" i="9"/>
  <c r="BUG55" i="9"/>
  <c r="BUE55" i="9"/>
  <c r="BUG54" i="9"/>
  <c r="BUE54" i="9"/>
  <c r="BUG53" i="9"/>
  <c r="BUE53" i="9"/>
  <c r="BUG52" i="9"/>
  <c r="BUE52" i="9"/>
  <c r="BUG51" i="9"/>
  <c r="BUE51" i="9"/>
  <c r="BUG50" i="9"/>
  <c r="BUE50" i="9"/>
  <c r="BUG49" i="9"/>
  <c r="BUE49" i="9"/>
  <c r="BUG48" i="9"/>
  <c r="BUE48" i="9"/>
  <c r="BUG47" i="9"/>
  <c r="BUE47" i="9"/>
  <c r="BUG46" i="9"/>
  <c r="BUE46" i="9"/>
  <c r="BUG45" i="9"/>
  <c r="BUE45" i="9"/>
  <c r="BUG44" i="9"/>
  <c r="BUE44" i="9"/>
  <c r="BUG43" i="9"/>
  <c r="BUE43" i="9"/>
  <c r="BUG42" i="9"/>
  <c r="BUE42" i="9"/>
  <c r="BUG41" i="9"/>
  <c r="BUE41" i="9"/>
  <c r="BUG40" i="9"/>
  <c r="BUE40" i="9"/>
  <c r="BUG39" i="9"/>
  <c r="BUE39" i="9"/>
  <c r="BUG38" i="9"/>
  <c r="BUE38" i="9"/>
  <c r="BUG37" i="9"/>
  <c r="BUE37" i="9"/>
  <c r="BUG36" i="9"/>
  <c r="BUE36" i="9"/>
  <c r="BUG35" i="9"/>
  <c r="BUE35" i="9"/>
  <c r="BUG34" i="9"/>
  <c r="BUE34" i="9"/>
  <c r="BUG33" i="9"/>
  <c r="BUE33" i="9"/>
  <c r="BUI38" i="9"/>
  <c r="BUI59" i="9" s="1"/>
  <c r="BUI58" i="9" s="1"/>
  <c r="BUH59" i="9"/>
  <c r="BUH58" i="9" s="1"/>
  <c r="BUH55" i="9"/>
  <c r="BUH51" i="9"/>
  <c r="BUH50" i="9"/>
  <c r="BUH49" i="9"/>
  <c r="BUH45" i="9"/>
  <c r="BUH44" i="9"/>
  <c r="BUH43" i="9" s="1"/>
  <c r="BUH39" i="9"/>
  <c r="BUH37" i="9"/>
  <c r="BUG32" i="9"/>
  <c r="BUE32" i="9"/>
  <c r="BUG31" i="9"/>
  <c r="BUE31" i="9"/>
  <c r="BUG30" i="9"/>
  <c r="BUE30" i="9"/>
  <c r="BUG29" i="9"/>
  <c r="BUE29" i="9"/>
  <c r="BUG28" i="9"/>
  <c r="BUE28" i="9"/>
  <c r="BUG27" i="9"/>
  <c r="BUE27" i="9"/>
  <c r="BUG26" i="9"/>
  <c r="BUE26" i="9"/>
  <c r="BUG25" i="9"/>
  <c r="BUE25" i="9"/>
  <c r="BUG24" i="9"/>
  <c r="BUE24" i="9"/>
  <c r="BUG23" i="9"/>
  <c r="BUE23" i="9"/>
  <c r="BUG22" i="9"/>
  <c r="BUE22" i="9"/>
  <c r="BUG21" i="9"/>
  <c r="BUE21" i="9"/>
  <c r="BUG20" i="9"/>
  <c r="BUE20" i="9"/>
  <c r="BUG19" i="9"/>
  <c r="BUE19" i="9"/>
  <c r="BUG18" i="9"/>
  <c r="BUE18" i="9"/>
  <c r="BUG17" i="9"/>
  <c r="BUE17" i="9"/>
  <c r="BUG16" i="9"/>
  <c r="BUE16" i="9"/>
  <c r="BUG15" i="9"/>
  <c r="BUE15" i="9"/>
  <c r="BUG14" i="9"/>
  <c r="BUE14" i="9"/>
  <c r="BUG13" i="9"/>
  <c r="BUE13" i="9"/>
  <c r="BUG12" i="9"/>
  <c r="BUE12" i="9"/>
  <c r="BUG11" i="9"/>
  <c r="BUE11" i="9"/>
  <c r="BUG10" i="9"/>
  <c r="BUE10" i="9"/>
  <c r="BUG9" i="9"/>
  <c r="BUE9" i="9"/>
  <c r="BUG8" i="9"/>
  <c r="BUE8" i="9"/>
  <c r="BUG7" i="9"/>
  <c r="BUE7" i="9"/>
  <c r="BUG6" i="9"/>
  <c r="BUE6" i="9"/>
  <c r="BUG5" i="9"/>
  <c r="BUE5" i="9"/>
  <c r="BUG4" i="9"/>
  <c r="BUE4" i="9"/>
  <c r="BUG3" i="9"/>
  <c r="BUE3" i="9"/>
  <c r="BUI8" i="9"/>
  <c r="BUI29" i="9" s="1"/>
  <c r="BUI28" i="9" s="1"/>
  <c r="BUH29" i="9"/>
  <c r="BUH28" i="9" s="1"/>
  <c r="BUH25" i="9"/>
  <c r="BUH21" i="9"/>
  <c r="BUH20" i="9"/>
  <c r="BUH19" i="9"/>
  <c r="BUH15" i="9"/>
  <c r="BUH14" i="9"/>
  <c r="BUH13" i="9" s="1"/>
  <c r="BUH9" i="9"/>
  <c r="BUH7" i="9"/>
  <c r="BUG2" i="9"/>
  <c r="BUE2" i="9"/>
  <c r="BUD5" i="9"/>
  <c r="BUD42" i="9"/>
  <c r="BUD47" i="9"/>
  <c r="BUD52" i="9"/>
  <c r="BUD28" i="9"/>
  <c r="BUD20" i="9"/>
  <c r="BUD3" i="9"/>
  <c r="BUD24" i="9"/>
  <c r="BUD26" i="9"/>
  <c r="BUD40" i="9"/>
  <c r="BUD37" i="9"/>
  <c r="BUD60" i="9"/>
  <c r="BUD13" i="9"/>
  <c r="BUD33" i="9"/>
  <c r="BUD29" i="9"/>
  <c r="BUD34" i="9"/>
  <c r="BUD50" i="9"/>
  <c r="BUD19" i="9"/>
  <c r="BUD12" i="9"/>
  <c r="BUD2" i="9"/>
  <c r="BUD15" i="9"/>
  <c r="BUD23" i="9"/>
  <c r="BUD59" i="9"/>
  <c r="BUD48" i="9"/>
  <c r="BUD38" i="9"/>
  <c r="BUD30" i="9"/>
  <c r="BUD10" i="9"/>
  <c r="BUD21" i="9"/>
  <c r="BUD11" i="9"/>
  <c r="BUD41" i="9"/>
  <c r="BUD36" i="9"/>
  <c r="BUD39" i="9"/>
  <c r="BUD9" i="9"/>
  <c r="BUD46" i="9"/>
  <c r="BUD49" i="9"/>
  <c r="BUD56" i="9"/>
  <c r="BUD18" i="9"/>
  <c r="BUD51" i="9"/>
  <c r="BUD53" i="9"/>
  <c r="BUD25" i="9"/>
  <c r="BUD27" i="9"/>
  <c r="BUD17" i="9"/>
  <c r="BUD35" i="9"/>
  <c r="BUD6" i="9"/>
  <c r="BUD57" i="9"/>
  <c r="BUD8" i="9"/>
  <c r="BUD45" i="9"/>
  <c r="BUD58" i="9"/>
  <c r="BUD32" i="9"/>
  <c r="BUD61" i="9"/>
  <c r="BUD16" i="9"/>
  <c r="BUD55" i="9"/>
  <c r="BUD22" i="9"/>
  <c r="BUD7" i="9"/>
  <c r="BUD44" i="9"/>
  <c r="BUD54" i="9"/>
  <c r="BUD43" i="9"/>
  <c r="BUD31" i="9"/>
  <c r="BUD4" i="9"/>
  <c r="BUD14" i="9"/>
  <c r="DY3" i="9" l="1"/>
  <c r="DZ3" i="9"/>
  <c r="EY3" i="9"/>
  <c r="EX3" i="9"/>
  <c r="DT3" i="9"/>
  <c r="DU3" i="9"/>
  <c r="BUL113" i="9"/>
  <c r="BUL101" i="9"/>
  <c r="BUL120" i="9"/>
  <c r="BUL100" i="9"/>
  <c r="BUL107" i="9"/>
  <c r="BUL121" i="9"/>
  <c r="BUL106" i="9"/>
  <c r="BUQ113" i="9"/>
  <c r="BUQ106" i="9"/>
  <c r="BUQ107" i="9"/>
  <c r="BUQ100" i="9"/>
  <c r="BUQ121" i="9"/>
  <c r="BUQ101" i="9"/>
  <c r="BUQ120" i="9"/>
  <c r="BUJ113" i="9"/>
  <c r="BUJ120" i="9"/>
  <c r="BUJ101" i="9"/>
  <c r="BUJ106" i="9"/>
  <c r="BUJ100" i="9"/>
  <c r="BUJ121" i="9"/>
  <c r="BUJ107" i="9"/>
  <c r="BUK113" i="9"/>
  <c r="BUK100" i="9"/>
  <c r="BUK101" i="9"/>
  <c r="BUK107" i="9"/>
  <c r="BUK106" i="9"/>
  <c r="BUK120" i="9"/>
  <c r="BUK121" i="9"/>
  <c r="ES3" i="9"/>
  <c r="ET3" i="9"/>
  <c r="ED3" i="9"/>
  <c r="EE3" i="9"/>
  <c r="EJ3" i="9"/>
  <c r="EI3" i="9"/>
  <c r="EO3" i="9"/>
  <c r="EN3" i="9"/>
  <c r="DO3" i="9"/>
  <c r="DP3" i="9"/>
  <c r="BUP113" i="9"/>
  <c r="BUP101" i="9"/>
  <c r="BUP120" i="9"/>
  <c r="BUP100" i="9"/>
  <c r="BUP106" i="9"/>
  <c r="BUP107" i="9"/>
  <c r="BUP121" i="9"/>
  <c r="BUM113" i="9"/>
  <c r="BUM120" i="9"/>
  <c r="BUM106" i="9"/>
  <c r="BUM100" i="9"/>
  <c r="BUM121" i="9"/>
  <c r="BUM107" i="9"/>
  <c r="BUM101" i="9"/>
  <c r="BUN113" i="9"/>
  <c r="BUN121" i="9"/>
  <c r="BUN101" i="9"/>
  <c r="BUN106" i="9"/>
  <c r="BUN100" i="9"/>
  <c r="BUN107" i="9"/>
  <c r="BUN120" i="9"/>
  <c r="BUO113" i="9"/>
  <c r="BUO121" i="9"/>
  <c r="BUO100" i="9"/>
  <c r="BUO101" i="9"/>
  <c r="BUO106" i="9"/>
  <c r="BUO120" i="9"/>
  <c r="BUO107" i="9"/>
  <c r="M13" i="1"/>
  <c r="BUN85" i="9"/>
  <c r="BUN79" i="9"/>
  <c r="BUN74" i="9"/>
  <c r="BUN73" i="9" s="1"/>
  <c r="BUN69" i="9"/>
  <c r="BUN80" i="9"/>
  <c r="BUN75" i="9"/>
  <c r="BUN89" i="9"/>
  <c r="BUN88" i="9" s="1"/>
  <c r="BUN81" i="9"/>
  <c r="BUO68" i="9"/>
  <c r="BUN67" i="9"/>
  <c r="BUI51" i="9"/>
  <c r="BUI44" i="9"/>
  <c r="BUI43" i="9" s="1"/>
  <c r="BUI39" i="9"/>
  <c r="BUI37" i="9"/>
  <c r="BUI50" i="9"/>
  <c r="BUI9" i="9"/>
  <c r="BUI45" i="9"/>
  <c r="BUI55" i="9"/>
  <c r="BUJ38" i="9"/>
  <c r="BUK38" i="9" s="1"/>
  <c r="BUK50" i="9" s="1"/>
  <c r="BUI49" i="9"/>
  <c r="BUI15" i="9"/>
  <c r="BUI20" i="9"/>
  <c r="BUI14" i="9"/>
  <c r="BUI13" i="9" s="1"/>
  <c r="BUI19" i="9"/>
  <c r="BUI25" i="9"/>
  <c r="BUI7" i="9"/>
  <c r="BUJ8" i="9"/>
  <c r="BUI21" i="9"/>
  <c r="AK4" i="5"/>
  <c r="CJW2" i="9" s="1"/>
  <c r="CJQ2" i="9"/>
  <c r="CJO2" i="9"/>
  <c r="AF2" i="9"/>
  <c r="V2" i="9"/>
  <c r="T2" i="9"/>
  <c r="H2" i="9"/>
  <c r="CJN2" i="9"/>
  <c r="S2" i="9"/>
  <c r="M14" i="1" l="1"/>
  <c r="BUO85" i="9"/>
  <c r="BUO79" i="9"/>
  <c r="BUO74" i="9"/>
  <c r="BUO73" i="9" s="1"/>
  <c r="BUO69" i="9"/>
  <c r="BUO80" i="9"/>
  <c r="BUO75" i="9"/>
  <c r="BUO89" i="9"/>
  <c r="BUO88" i="9" s="1"/>
  <c r="BUO81" i="9"/>
  <c r="BUP68" i="9"/>
  <c r="BUO67" i="9"/>
  <c r="BUJ37" i="9"/>
  <c r="BUJ50" i="9"/>
  <c r="BUJ55" i="9"/>
  <c r="BUK55" i="9"/>
  <c r="BUK59" i="9"/>
  <c r="BUK58" i="9" s="1"/>
  <c r="BUJ51" i="9"/>
  <c r="BUK44" i="9"/>
  <c r="BUK43" i="9" s="1"/>
  <c r="BUK45" i="9"/>
  <c r="BUJ45" i="9"/>
  <c r="BUJ49" i="9"/>
  <c r="BUK39" i="9"/>
  <c r="BUK51" i="9"/>
  <c r="BUK37" i="9"/>
  <c r="BUJ39" i="9"/>
  <c r="BUJ59" i="9"/>
  <c r="BUJ58" i="9" s="1"/>
  <c r="BUJ44" i="9"/>
  <c r="BUJ43" i="9" s="1"/>
  <c r="BUK49" i="9"/>
  <c r="BUL38" i="9"/>
  <c r="BUL37" i="9" s="1"/>
  <c r="B2" i="9"/>
  <c r="C2" i="9" s="1"/>
  <c r="BG2" i="9" s="1"/>
  <c r="BUJ25" i="9"/>
  <c r="BUJ19" i="9"/>
  <c r="BUJ14" i="9"/>
  <c r="BUJ13" i="9" s="1"/>
  <c r="BUJ9" i="9"/>
  <c r="BUJ20" i="9"/>
  <c r="BUJ15" i="9"/>
  <c r="BUJ29" i="9"/>
  <c r="BUJ28" i="9" s="1"/>
  <c r="BUJ21" i="9"/>
  <c r="BUK8" i="9"/>
  <c r="BUJ7" i="9"/>
  <c r="AB2" i="9"/>
  <c r="BI2" i="9" s="1"/>
  <c r="D2" i="9"/>
  <c r="BF2" i="9" s="1"/>
  <c r="BUP80" i="9" l="1"/>
  <c r="BUP75" i="9"/>
  <c r="BUP89" i="9"/>
  <c r="BUP88" i="9" s="1"/>
  <c r="BUP81" i="9"/>
  <c r="BUQ68" i="9"/>
  <c r="BUP67" i="9"/>
  <c r="BUP85" i="9"/>
  <c r="BUP79" i="9"/>
  <c r="BUP74" i="9"/>
  <c r="BUP73" i="9" s="1"/>
  <c r="BUP69" i="9"/>
  <c r="BUL55" i="9"/>
  <c r="BUL49" i="9"/>
  <c r="BUL39" i="9"/>
  <c r="BUL59" i="9"/>
  <c r="BUL58" i="9" s="1"/>
  <c r="BUL45" i="9"/>
  <c r="BUL51" i="9"/>
  <c r="BUL44" i="9"/>
  <c r="BUL43" i="9" s="1"/>
  <c r="BUM38" i="9"/>
  <c r="BUM49" i="9" s="1"/>
  <c r="BUL50" i="9"/>
  <c r="BUK25" i="9"/>
  <c r="BUK19" i="9"/>
  <c r="BUK14" i="9"/>
  <c r="BUK13" i="9" s="1"/>
  <c r="BUK9" i="9"/>
  <c r="BUK20" i="9"/>
  <c r="BUK15" i="9"/>
  <c r="BUL8" i="9"/>
  <c r="BUK7" i="9"/>
  <c r="BUK29" i="9"/>
  <c r="BUK28" i="9" s="1"/>
  <c r="BUK21" i="9"/>
  <c r="E2" i="9"/>
  <c r="BE2" i="9" s="1"/>
  <c r="BUQ89" i="9" l="1"/>
  <c r="BUQ88" i="9" s="1"/>
  <c r="BUQ81" i="9"/>
  <c r="BUR68" i="9"/>
  <c r="BUQ67" i="9"/>
  <c r="BUQ85" i="9"/>
  <c r="BUQ79" i="9"/>
  <c r="BUQ74" i="9"/>
  <c r="BUQ73" i="9" s="1"/>
  <c r="BUQ69" i="9"/>
  <c r="BUQ80" i="9"/>
  <c r="BUQ75" i="9"/>
  <c r="BUN38" i="9"/>
  <c r="BUN49" i="9" s="1"/>
  <c r="BUM37" i="9"/>
  <c r="BUM44" i="9"/>
  <c r="BUM43" i="9" s="1"/>
  <c r="BUM39" i="9"/>
  <c r="BUM59" i="9"/>
  <c r="BUM58" i="9" s="1"/>
  <c r="BUM50" i="9"/>
  <c r="BUM55" i="9"/>
  <c r="BUM51" i="9"/>
  <c r="BUM45" i="9"/>
  <c r="BUL20" i="9"/>
  <c r="BUL15" i="9"/>
  <c r="BUL29" i="9"/>
  <c r="BUL28" i="9" s="1"/>
  <c r="BUL21" i="9"/>
  <c r="BUM8" i="9"/>
  <c r="BUL7" i="9"/>
  <c r="BUL25" i="9"/>
  <c r="BUL19" i="9"/>
  <c r="BUL14" i="9"/>
  <c r="BUL13" i="9" s="1"/>
  <c r="BUL9" i="9"/>
  <c r="AJ3" i="5"/>
  <c r="R22" i="5"/>
  <c r="N22" i="5"/>
  <c r="F22" i="5"/>
  <c r="B22" i="5"/>
  <c r="R15" i="5"/>
  <c r="N15" i="5"/>
  <c r="F15" i="5"/>
  <c r="B15" i="5"/>
  <c r="BUO38" i="9" l="1"/>
  <c r="BUO50" i="9" s="1"/>
  <c r="BUN50" i="9"/>
  <c r="BUN37" i="9"/>
  <c r="BUN39" i="9"/>
  <c r="BUN51" i="9"/>
  <c r="BUN44" i="9"/>
  <c r="BUN43" i="9" s="1"/>
  <c r="BUN59" i="9"/>
  <c r="BUN58" i="9" s="1"/>
  <c r="BUN55" i="9"/>
  <c r="BUR85" i="9"/>
  <c r="BUR79" i="9"/>
  <c r="BUR74" i="9"/>
  <c r="BUR73" i="9" s="1"/>
  <c r="BUR69" i="9"/>
  <c r="BUR80" i="9"/>
  <c r="BUR75" i="9"/>
  <c r="BUR89" i="9"/>
  <c r="BUR88" i="9" s="1"/>
  <c r="BUR81" i="9"/>
  <c r="BUS68" i="9"/>
  <c r="BUR67" i="9"/>
  <c r="BUN45" i="9"/>
  <c r="BUO55" i="9"/>
  <c r="BUO49" i="9"/>
  <c r="BUM29" i="9"/>
  <c r="BUM28" i="9" s="1"/>
  <c r="BUM21" i="9"/>
  <c r="BUN8" i="9"/>
  <c r="BUM7" i="9"/>
  <c r="BUM25" i="9"/>
  <c r="BUM19" i="9"/>
  <c r="BUM14" i="9"/>
  <c r="BUM13" i="9" s="1"/>
  <c r="BUM9" i="9"/>
  <c r="BUM20" i="9"/>
  <c r="BUM15" i="9"/>
  <c r="N22" i="1"/>
  <c r="M22" i="1"/>
  <c r="L22" i="1"/>
  <c r="K22" i="1"/>
  <c r="J22" i="1"/>
  <c r="I22" i="1"/>
  <c r="H22" i="1"/>
  <c r="G22" i="1"/>
  <c r="BUO59" i="9" l="1"/>
  <c r="BUO58" i="9" s="1"/>
  <c r="BUO45" i="9"/>
  <c r="BUO37" i="9"/>
  <c r="BUO39" i="9"/>
  <c r="BUO51" i="9"/>
  <c r="BUO44" i="9"/>
  <c r="BUO43" i="9" s="1"/>
  <c r="BUP38" i="9"/>
  <c r="BUP59" i="9" s="1"/>
  <c r="BUP58" i="9" s="1"/>
  <c r="BUS85" i="9"/>
  <c r="BUS79" i="9"/>
  <c r="BUS74" i="9"/>
  <c r="BUS73" i="9" s="1"/>
  <c r="BUS69" i="9"/>
  <c r="BUS80" i="9"/>
  <c r="BUS75" i="9"/>
  <c r="BUS89" i="9"/>
  <c r="BUS88" i="9" s="1"/>
  <c r="BUS81" i="9"/>
  <c r="BUS67" i="9"/>
  <c r="BUN25" i="9"/>
  <c r="BUN19" i="9"/>
  <c r="BUN14" i="9"/>
  <c r="BUN13" i="9" s="1"/>
  <c r="BUN9" i="9"/>
  <c r="BUN20" i="9"/>
  <c r="BUN15" i="9"/>
  <c r="BUN29" i="9"/>
  <c r="BUN28" i="9" s="1"/>
  <c r="BUN21" i="9"/>
  <c r="BUO8" i="9"/>
  <c r="BUN7" i="9"/>
  <c r="BUP44" i="9" l="1"/>
  <c r="BUP43" i="9" s="1"/>
  <c r="BUP37" i="9"/>
  <c r="BUP45" i="9"/>
  <c r="BUQ38" i="9"/>
  <c r="BUQ55" i="9" s="1"/>
  <c r="BUP39" i="9"/>
  <c r="BUP51" i="9"/>
  <c r="BUP49" i="9"/>
  <c r="BUP50" i="9"/>
  <c r="BUP55" i="9"/>
  <c r="BUQ44" i="9"/>
  <c r="BUQ43" i="9" s="1"/>
  <c r="BUQ39" i="9"/>
  <c r="BUQ37" i="9"/>
  <c r="BUO25" i="9"/>
  <c r="BUO19" i="9"/>
  <c r="BUO14" i="9"/>
  <c r="BUO13" i="9" s="1"/>
  <c r="BUO9" i="9"/>
  <c r="BUO20" i="9"/>
  <c r="BUO15" i="9"/>
  <c r="BUO29" i="9"/>
  <c r="BUO28" i="9" s="1"/>
  <c r="BUO21" i="9"/>
  <c r="BUP8" i="9"/>
  <c r="BUO7" i="9"/>
  <c r="BUQ59" i="9" l="1"/>
  <c r="BUQ58" i="9" s="1"/>
  <c r="BUQ49" i="9"/>
  <c r="BUR38" i="9"/>
  <c r="BUR59" i="9" s="1"/>
  <c r="BUR58" i="9" s="1"/>
  <c r="BUQ45" i="9"/>
  <c r="BUQ51" i="9"/>
  <c r="BUQ50" i="9"/>
  <c r="BUR55" i="9"/>
  <c r="BUR49" i="9"/>
  <c r="BUR44" i="9"/>
  <c r="BUR43" i="9" s="1"/>
  <c r="BUR39" i="9"/>
  <c r="BUR50" i="9"/>
  <c r="BUR45" i="9"/>
  <c r="BUR51" i="9"/>
  <c r="BUR37" i="9"/>
  <c r="BUS38" i="9"/>
  <c r="BUP20" i="9"/>
  <c r="BUP15" i="9"/>
  <c r="BUP29" i="9"/>
  <c r="BUP28" i="9" s="1"/>
  <c r="BUP21" i="9"/>
  <c r="BUQ8" i="9"/>
  <c r="BUP7" i="9"/>
  <c r="BUP25" i="9"/>
  <c r="BUP19" i="9"/>
  <c r="BUP14" i="9"/>
  <c r="BUP13" i="9" s="1"/>
  <c r="BUP9" i="9"/>
  <c r="BUS50" i="9" l="1"/>
  <c r="BUS45" i="9"/>
  <c r="BUS59" i="9"/>
  <c r="BUS58" i="9" s="1"/>
  <c r="BUS51" i="9"/>
  <c r="BUS37" i="9"/>
  <c r="BUS49" i="9"/>
  <c r="BUS44" i="9"/>
  <c r="BUS43" i="9" s="1"/>
  <c r="BUS39" i="9"/>
  <c r="BUS55" i="9"/>
  <c r="BUQ29" i="9"/>
  <c r="BUQ28" i="9" s="1"/>
  <c r="BUQ21" i="9"/>
  <c r="BUR8" i="9"/>
  <c r="BUQ7" i="9"/>
  <c r="BUQ25" i="9"/>
  <c r="BUQ19" i="9"/>
  <c r="BUQ14" i="9"/>
  <c r="BUQ13" i="9" s="1"/>
  <c r="BUQ9" i="9"/>
  <c r="BUQ20" i="9"/>
  <c r="BUQ15" i="9"/>
  <c r="T7" i="1"/>
  <c r="Q17" i="1" s="1"/>
  <c r="Q23" i="1" l="1"/>
  <c r="AB23" i="5" s="1"/>
  <c r="S18" i="1"/>
  <c r="G10" i="11" s="1"/>
  <c r="Q7" i="1"/>
  <c r="Q21" i="1"/>
  <c r="AA10" i="5" s="1"/>
  <c r="S16" i="1"/>
  <c r="S22" i="1"/>
  <c r="G13" i="11" s="1"/>
  <c r="Q18" i="1"/>
  <c r="S17" i="1"/>
  <c r="G9" i="11" s="1"/>
  <c r="S23" i="1"/>
  <c r="Q16" i="1"/>
  <c r="S21" i="1"/>
  <c r="Q19" i="1"/>
  <c r="S10" i="1"/>
  <c r="S19" i="1"/>
  <c r="Q8" i="1"/>
  <c r="D5" i="10" s="1"/>
  <c r="BYE3" i="9" s="1"/>
  <c r="Q12" i="1"/>
  <c r="S8" i="1"/>
  <c r="S12" i="1"/>
  <c r="Q20" i="1"/>
  <c r="Q10" i="1"/>
  <c r="S20" i="1"/>
  <c r="S15" i="1"/>
  <c r="G7" i="11" s="1"/>
  <c r="S9" i="1"/>
  <c r="S11" i="1"/>
  <c r="S13" i="1"/>
  <c r="Q14" i="1"/>
  <c r="S14" i="1"/>
  <c r="G6" i="11" s="1"/>
  <c r="S7" i="1"/>
  <c r="BUR25" i="9"/>
  <c r="BUR19" i="9"/>
  <c r="BUR14" i="9"/>
  <c r="BUR13" i="9" s="1"/>
  <c r="BUR9" i="9"/>
  <c r="BUR20" i="9"/>
  <c r="BUR15" i="9"/>
  <c r="BUR29" i="9"/>
  <c r="BUR28" i="9" s="1"/>
  <c r="BUR21" i="9"/>
  <c r="BUS8" i="9"/>
  <c r="BUR7" i="9"/>
  <c r="G19" i="11" l="1"/>
  <c r="N38" i="11" s="1"/>
  <c r="G15" i="11" s="1"/>
  <c r="G5" i="11"/>
  <c r="G8" i="11"/>
  <c r="G12" i="11"/>
  <c r="G11" i="11"/>
  <c r="G4" i="11"/>
  <c r="Q22" i="1"/>
  <c r="C42" i="11" s="1"/>
  <c r="C43" i="11" s="1"/>
  <c r="Q15" i="1"/>
  <c r="Q9" i="1"/>
  <c r="Q11" i="1" s="1"/>
  <c r="Q13" i="1" s="1"/>
  <c r="BUS31" i="9"/>
  <c r="BUR16" i="9"/>
  <c r="BUQ11" i="9"/>
  <c r="BUP23" i="9"/>
  <c r="BUO17" i="9"/>
  <c r="BUN31" i="9"/>
  <c r="BUM11" i="9"/>
  <c r="BUL31" i="9"/>
  <c r="BUK11" i="9"/>
  <c r="BUJ10" i="9"/>
  <c r="BUI23" i="9"/>
  <c r="BUH10" i="9"/>
  <c r="BUS23" i="9"/>
  <c r="BUS25" i="9"/>
  <c r="BUS19" i="9"/>
  <c r="BUS14" i="9"/>
  <c r="BUS13" i="9" s="1"/>
  <c r="BUS9" i="9"/>
  <c r="BUS7" i="9"/>
  <c r="BUS20" i="9"/>
  <c r="BUS15" i="9"/>
  <c r="BUS29" i="9"/>
  <c r="BUS28" i="9" s="1"/>
  <c r="BUS21" i="9"/>
  <c r="L24" i="1"/>
  <c r="L37" i="1"/>
  <c r="I24" i="1"/>
  <c r="I37" i="1"/>
  <c r="M24" i="1"/>
  <c r="M37" i="1"/>
  <c r="H24" i="1"/>
  <c r="H37" i="1"/>
  <c r="J24" i="1"/>
  <c r="J37" i="1"/>
  <c r="N24" i="1"/>
  <c r="N37" i="1"/>
  <c r="G24" i="1"/>
  <c r="G37" i="1"/>
  <c r="K24" i="1"/>
  <c r="K37" i="1"/>
  <c r="CJS3" i="9" l="1"/>
  <c r="CJR3" i="9"/>
  <c r="CJY3" i="9" s="1"/>
  <c r="CJZ3" i="9" s="1"/>
  <c r="Q24" i="1"/>
  <c r="H42" i="11" s="1"/>
  <c r="H43" i="11" s="1"/>
  <c r="S24" i="1"/>
  <c r="BUP30" i="9"/>
  <c r="BUS30" i="9"/>
  <c r="BUM17" i="9"/>
  <c r="BUJ16" i="9"/>
  <c r="BUL30" i="9"/>
  <c r="BUH16" i="9"/>
  <c r="BUO16" i="9"/>
  <c r="BUK23" i="9"/>
  <c r="BUO11" i="9"/>
  <c r="BUQ17" i="9"/>
  <c r="BUI10" i="9"/>
  <c r="BUM30" i="9"/>
  <c r="BUO23" i="9"/>
  <c r="BUS17" i="9"/>
  <c r="BUI16" i="9"/>
  <c r="BUM10" i="9"/>
  <c r="BUO31" i="9"/>
  <c r="BUQ16" i="9"/>
  <c r="BUS10" i="9"/>
  <c r="BUM31" i="9"/>
  <c r="BUM23" i="9"/>
  <c r="BUS16" i="9"/>
  <c r="BUK17" i="9"/>
  <c r="BUS11" i="9"/>
  <c r="BUH17" i="9"/>
  <c r="BUH23" i="9"/>
  <c r="BUJ17" i="9"/>
  <c r="BUL17" i="9"/>
  <c r="BUN23" i="9"/>
  <c r="BUR23" i="9"/>
  <c r="BUH31" i="9"/>
  <c r="BUJ23" i="9"/>
  <c r="BUL11" i="9"/>
  <c r="BUN30" i="9"/>
  <c r="BUP10" i="9"/>
  <c r="BUR17" i="9"/>
  <c r="BUS53" i="9"/>
  <c r="BUS46" i="9"/>
  <c r="BUS47" i="9"/>
  <c r="BUS60" i="9"/>
  <c r="BUS40" i="9"/>
  <c r="BUS41" i="9"/>
  <c r="BUS61" i="9"/>
  <c r="BUH30" i="9"/>
  <c r="BUJ31" i="9"/>
  <c r="BUL16" i="9"/>
  <c r="BUN11" i="9"/>
  <c r="BUP17" i="9"/>
  <c r="BUR30" i="9"/>
  <c r="BUH11" i="9"/>
  <c r="BUJ30" i="9"/>
  <c r="BUL10" i="9"/>
  <c r="BUL23" i="9"/>
  <c r="BUN10" i="9"/>
  <c r="BUP16" i="9"/>
  <c r="BUP11" i="9"/>
  <c r="BUR11" i="9"/>
  <c r="BUR10" i="9"/>
  <c r="BUJ11" i="9"/>
  <c r="BUN17" i="9"/>
  <c r="BUP31" i="9"/>
  <c r="BUR31" i="9"/>
  <c r="BUR53" i="9"/>
  <c r="BUR41" i="9"/>
  <c r="BUR40" i="9"/>
  <c r="BUR61" i="9"/>
  <c r="BUR47" i="9"/>
  <c r="BUR46" i="9"/>
  <c r="BUR60" i="9"/>
  <c r="BUQ31" i="9"/>
  <c r="BUQ10" i="9"/>
  <c r="BUO30" i="9"/>
  <c r="BUQ30" i="9"/>
  <c r="BUQ23" i="9"/>
  <c r="BUM16" i="9"/>
  <c r="BUO10" i="9"/>
  <c r="BUQ53" i="9"/>
  <c r="BUQ46" i="9"/>
  <c r="BUQ60" i="9"/>
  <c r="BUQ40" i="9"/>
  <c r="BUQ61" i="9"/>
  <c r="BUQ47" i="9"/>
  <c r="BUQ41" i="9"/>
  <c r="BUP53" i="9"/>
  <c r="BUP46" i="9"/>
  <c r="BUP41" i="9"/>
  <c r="BUP40" i="9"/>
  <c r="BUP47" i="9"/>
  <c r="BUP61" i="9"/>
  <c r="BUP60" i="9"/>
  <c r="BUO53" i="9"/>
  <c r="BUO46" i="9"/>
  <c r="BUO47" i="9"/>
  <c r="BUO60" i="9"/>
  <c r="BUO40" i="9"/>
  <c r="BUO41" i="9"/>
  <c r="BUO61" i="9"/>
  <c r="BUN16" i="9"/>
  <c r="BUN53" i="9"/>
  <c r="BUN41" i="9"/>
  <c r="BUN60" i="9"/>
  <c r="BUN40" i="9"/>
  <c r="BUN61" i="9"/>
  <c r="BUN47" i="9"/>
  <c r="BUN46" i="9"/>
  <c r="BUM53" i="9"/>
  <c r="BUM46" i="9"/>
  <c r="BUM60" i="9"/>
  <c r="BUM40" i="9"/>
  <c r="BUM61" i="9"/>
  <c r="BUM47" i="9"/>
  <c r="BUM41" i="9"/>
  <c r="BUI17" i="9"/>
  <c r="BUK16" i="9"/>
  <c r="BUK31" i="9"/>
  <c r="BUI31" i="9"/>
  <c r="BUI11" i="9"/>
  <c r="BUK10" i="9"/>
  <c r="BUL53" i="9"/>
  <c r="BUL47" i="9"/>
  <c r="BUL46" i="9"/>
  <c r="BUL41" i="9"/>
  <c r="BUL60" i="9"/>
  <c r="BUL40" i="9"/>
  <c r="BUL61" i="9"/>
  <c r="BUI30" i="9"/>
  <c r="BUK30" i="9"/>
  <c r="BUK53" i="9"/>
  <c r="BUK46" i="9"/>
  <c r="BUK47" i="9"/>
  <c r="BUK40" i="9"/>
  <c r="BUK41" i="9"/>
  <c r="BUK61" i="9"/>
  <c r="BUK60" i="9"/>
  <c r="BUJ53" i="9"/>
  <c r="BUJ41" i="9"/>
  <c r="BUJ61" i="9"/>
  <c r="BUJ47" i="9"/>
  <c r="BUJ60" i="9"/>
  <c r="BUJ46" i="9"/>
  <c r="BUJ40" i="9"/>
  <c r="BUI53" i="9"/>
  <c r="BUI46" i="9"/>
  <c r="BUI61" i="9"/>
  <c r="BUI40" i="9"/>
  <c r="BUI60" i="9"/>
  <c r="BUI41" i="9"/>
  <c r="BUI47" i="9"/>
  <c r="BUH53" i="9"/>
  <c r="BUH47" i="9"/>
  <c r="BUH61" i="9"/>
  <c r="BUH60" i="9"/>
  <c r="BUH41" i="9"/>
  <c r="BUH40" i="9"/>
  <c r="BUH46" i="9"/>
  <c r="CJU3" i="9" l="1"/>
  <c r="CJV3" i="9" s="1"/>
  <c r="J42" i="11"/>
  <c r="J43" i="11" s="1"/>
  <c r="G14" i="11"/>
  <c r="R17" i="5" l="1"/>
  <c r="N17" i="5"/>
  <c r="F24" i="5"/>
  <c r="R24" i="5"/>
  <c r="N24" i="5"/>
  <c r="D7" i="10"/>
  <c r="BYE5" i="9" s="1"/>
  <c r="D9" i="10"/>
  <c r="BYE7" i="9" s="1"/>
  <c r="B17" i="5" l="1"/>
  <c r="AA13" i="5" s="1"/>
  <c r="D4" i="10" l="1"/>
  <c r="BYE2" i="9" s="1"/>
  <c r="BYF2" i="9" s="1"/>
  <c r="BYG2" i="9" l="1"/>
  <c r="BYF3" i="9"/>
  <c r="BYH3" i="9"/>
  <c r="F17" i="5"/>
  <c r="AB24" i="5" s="1"/>
  <c r="D6" i="10"/>
  <c r="BYE4" i="9" l="1"/>
  <c r="BYF4" i="9" s="1"/>
  <c r="BYI3" i="9"/>
  <c r="BYJ3" i="9" s="1"/>
  <c r="BYH4" i="9"/>
  <c r="D8" i="10"/>
  <c r="BYE6" i="9" s="1"/>
  <c r="Q37" i="1"/>
  <c r="D10" i="10" l="1"/>
  <c r="BYF5" i="9"/>
  <c r="BYI4" i="9"/>
  <c r="BYJ4" i="9" s="1"/>
  <c r="BYH5" i="9"/>
  <c r="BYF6" i="9" l="1"/>
  <c r="BYI5" i="9"/>
  <c r="BYJ5" i="9" s="1"/>
  <c r="BYH6" i="9"/>
  <c r="B24" i="5"/>
  <c r="BYF7" i="9" l="1"/>
  <c r="BYI6" i="9"/>
  <c r="BYJ6" i="9" s="1"/>
  <c r="BYH7" i="9"/>
  <c r="AK3" i="5"/>
  <c r="CJS2" i="9" s="1"/>
  <c r="AJ4" i="5"/>
  <c r="Z2" i="9" l="1"/>
  <c r="AG2" i="9" s="1"/>
  <c r="CJR2" i="9"/>
  <c r="CJY2" i="9" s="1"/>
  <c r="CJZ2" i="9" s="1"/>
  <c r="BYG8" i="9"/>
  <c r="BYI7" i="9"/>
  <c r="BYJ7" i="9" s="1"/>
  <c r="AA2" i="9" l="1"/>
  <c r="BJ2" i="9" s="1"/>
  <c r="CJU2" i="9"/>
  <c r="CJV2" i="9" s="1"/>
  <c r="AC2" i="9" l="1"/>
  <c r="BH2" i="9" s="1"/>
</calcChain>
</file>

<file path=xl/sharedStrings.xml><?xml version="1.0" encoding="utf-8"?>
<sst xmlns="http://schemas.openxmlformats.org/spreadsheetml/2006/main" count="791" uniqueCount="329">
  <si>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</si>
  <si>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</si>
  <si>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</si>
  <si>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</si>
  <si>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</si>
  <si>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</si>
  <si>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</si>
  <si>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</si>
  <si>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</si>
  <si>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</si>
  <si>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</si>
  <si>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</si>
  <si>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</si>
  <si>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ID</t>
  </si>
  <si>
    <t>All</t>
  </si>
  <si>
    <t>% Net Profit Target</t>
  </si>
  <si>
    <t>Budget</t>
  </si>
  <si>
    <t>Balance</t>
  </si>
  <si>
    <t>Gauge Chart Name:</t>
  </si>
  <si>
    <t>AV</t>
  </si>
  <si>
    <t>min</t>
  </si>
  <si>
    <t>max</t>
  </si>
  <si>
    <t>diff</t>
  </si>
  <si>
    <t>Format</t>
  </si>
  <si>
    <t>Decimals</t>
  </si>
  <si>
    <t>Labels size</t>
  </si>
  <si>
    <t>AV size</t>
  </si>
  <si>
    <t>ref 2E</t>
  </si>
  <si>
    <t>ref 1E</t>
  </si>
  <si>
    <t>color 1</t>
  </si>
  <si>
    <t>color 2</t>
  </si>
  <si>
    <t>color 3</t>
  </si>
  <si>
    <t>Skin</t>
  </si>
  <si>
    <t>Sheet Name</t>
  </si>
  <si>
    <t>Sheet Index</t>
  </si>
  <si>
    <t>Attached</t>
  </si>
  <si>
    <t>Reference</t>
  </si>
  <si>
    <t>color AV</t>
  </si>
  <si>
    <t>Description</t>
  </si>
  <si>
    <t>Size</t>
  </si>
  <si>
    <t>PV</t>
  </si>
  <si>
    <t>TextBoxDiff</t>
  </si>
  <si>
    <t>color PV</t>
  </si>
  <si>
    <t>ref 4S</t>
  </si>
  <si>
    <t>ref 4E</t>
  </si>
  <si>
    <t>ref 5E</t>
  </si>
  <si>
    <t>ref 6E</t>
  </si>
  <si>
    <t>ref 7E</t>
  </si>
  <si>
    <t>ref 8E</t>
  </si>
  <si>
    <t>ref 9E</t>
  </si>
  <si>
    <t>ref 10E</t>
  </si>
  <si>
    <t>ref 11E</t>
  </si>
  <si>
    <t>ref 12E</t>
  </si>
  <si>
    <t>color 4</t>
  </si>
  <si>
    <t>color 5</t>
  </si>
  <si>
    <t>color 6</t>
  </si>
  <si>
    <t>color 7</t>
  </si>
  <si>
    <t>color 8</t>
  </si>
  <si>
    <t>color 9</t>
  </si>
  <si>
    <t>color 10</t>
  </si>
  <si>
    <t>color 11</t>
  </si>
  <si>
    <t>color 12</t>
  </si>
  <si>
    <t>Zones Count</t>
  </si>
  <si>
    <t>Hform</t>
  </si>
  <si>
    <t>Reverse?</t>
  </si>
  <si>
    <t>color LB</t>
  </si>
  <si>
    <t>color A</t>
  </si>
  <si>
    <t>color D</t>
  </si>
  <si>
    <t>Variance Chart Name:</t>
  </si>
  <si>
    <t>Data 1</t>
  </si>
  <si>
    <t>Data 2</t>
  </si>
  <si>
    <t>Diff</t>
  </si>
  <si>
    <t>Series 1</t>
  </si>
  <si>
    <t>Series 2</t>
  </si>
  <si>
    <t>Sales Funnel Chart Name:</t>
  </si>
  <si>
    <t>TL Chart Name:</t>
  </si>
  <si>
    <t>Green</t>
  </si>
  <si>
    <t>Yellow</t>
  </si>
  <si>
    <t>AV Val.</t>
  </si>
  <si>
    <t>Size 1</t>
  </si>
  <si>
    <t>Size 2</t>
  </si>
  <si>
    <t>Size 3</t>
  </si>
  <si>
    <t>ForeColor</t>
  </si>
  <si>
    <t>Border</t>
  </si>
  <si>
    <t>Off Light</t>
  </si>
  <si>
    <t>Text</t>
  </si>
  <si>
    <t>Color 1</t>
  </si>
  <si>
    <t>Color 2</t>
  </si>
  <si>
    <t>Color 3</t>
  </si>
  <si>
    <t>Model</t>
  </si>
  <si>
    <t>Minim</t>
  </si>
  <si>
    <t>Maxim</t>
  </si>
  <si>
    <t>VarianceActualHorizontal:</t>
  </si>
  <si>
    <t>WaterFallChart Name:</t>
  </si>
  <si>
    <t>Labels</t>
  </si>
  <si>
    <t>Values</t>
  </si>
  <si>
    <t>Cumulative</t>
  </si>
  <si>
    <t>Start - End</t>
  </si>
  <si>
    <t>Before</t>
  </si>
  <si>
    <t>After</t>
  </si>
  <si>
    <t>Data label position</t>
  </si>
  <si>
    <t>MekkoChart Name:</t>
  </si>
  <si>
    <t>OrgChart Name:</t>
  </si>
  <si>
    <t>RadialBarChart Name:</t>
  </si>
  <si>
    <t>MaxValue</t>
  </si>
  <si>
    <t>Value 1</t>
  </si>
  <si>
    <t>Desc 1</t>
  </si>
  <si>
    <t>v 1</t>
  </si>
  <si>
    <t>i 1</t>
  </si>
  <si>
    <t>Value 2</t>
  </si>
  <si>
    <t>Desc 2</t>
  </si>
  <si>
    <t>v 2</t>
  </si>
  <si>
    <t>i 2</t>
  </si>
  <si>
    <t>Value 3</t>
  </si>
  <si>
    <t>Desc 3</t>
  </si>
  <si>
    <t>v 3</t>
  </si>
  <si>
    <t>i 3</t>
  </si>
  <si>
    <t>Value 4</t>
  </si>
  <si>
    <t>Desc 4</t>
  </si>
  <si>
    <t>v 4</t>
  </si>
  <si>
    <t>i 4</t>
  </si>
  <si>
    <t>Value 5</t>
  </si>
  <si>
    <t>Desc 5</t>
  </si>
  <si>
    <t>v 5</t>
  </si>
  <si>
    <t>i 5</t>
  </si>
  <si>
    <t>Value 6</t>
  </si>
  <si>
    <t>Desc 6</t>
  </si>
  <si>
    <t>v 6</t>
  </si>
  <si>
    <t>i 6</t>
  </si>
  <si>
    <t>Value 7</t>
  </si>
  <si>
    <t>Desc 7</t>
  </si>
  <si>
    <t>v 7</t>
  </si>
  <si>
    <t>i 7</t>
  </si>
  <si>
    <t>Value 8</t>
  </si>
  <si>
    <t>Desc 8</t>
  </si>
  <si>
    <t>v 8</t>
  </si>
  <si>
    <t>i 8</t>
  </si>
  <si>
    <t>Value 9</t>
  </si>
  <si>
    <t>Desc 9</t>
  </si>
  <si>
    <t>v 9</t>
  </si>
  <si>
    <t>i 9</t>
  </si>
  <si>
    <t>Value 10</t>
  </si>
  <si>
    <t>Desc 10</t>
  </si>
  <si>
    <t>v 10</t>
  </si>
  <si>
    <t>i 10</t>
  </si>
  <si>
    <t>Sales Funnel2 Chart Name:</t>
  </si>
  <si>
    <t>Colors</t>
  </si>
  <si>
    <t>DataText</t>
  </si>
  <si>
    <t>DataValue</t>
  </si>
  <si>
    <t>x</t>
  </si>
  <si>
    <t>Label</t>
  </si>
  <si>
    <t>Value</t>
  </si>
  <si>
    <t>Low</t>
  </si>
  <si>
    <t>High</t>
  </si>
  <si>
    <t>x2</t>
  </si>
  <si>
    <t>yLabel</t>
  </si>
  <si>
    <t>yPercent</t>
  </si>
  <si>
    <t>LabelPercent</t>
  </si>
  <si>
    <t>xxx</t>
  </si>
  <si>
    <t>G2_sample</t>
  </si>
  <si>
    <t>Net Profit Margin vs Target</t>
  </si>
  <si>
    <t>Skin 5</t>
  </si>
  <si>
    <t>Per</t>
  </si>
  <si>
    <t>RBC_1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</si>
  <si>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</si>
  <si>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</si>
  <si>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</si>
  <si>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</si>
  <si>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</si>
  <si>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</si>
  <si>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</si>
  <si>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</si>
  <si>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</si>
  <si>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</si>
  <si>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</si>
  <si>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</si>
  <si>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</si>
  <si>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</si>
  <si>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</si>
  <si>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</si>
  <si>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</si>
  <si>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</si>
  <si>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</si>
  <si>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</si>
  <si>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</si>
  <si>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</si>
  <si>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</si>
  <si>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</si>
  <si>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</si>
  <si>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</si>
  <si>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</si>
  <si>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</si>
  <si>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</si>
  <si>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</si>
  <si>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</si>
  <si>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</si>
  <si>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</si>
  <si>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</si>
  <si>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</si>
  <si>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</si>
  <si>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</si>
  <si>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</si>
  <si>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</si>
  <si>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</si>
  <si>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</si>
  <si>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</si>
  <si>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</si>
  <si>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</si>
  <si>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</si>
  <si>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</si>
  <si>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</si>
  <si>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</si>
  <si>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Data 51</t>
  </si>
  <si>
    <t>Data 52</t>
  </si>
  <si>
    <t>Data 53</t>
  </si>
  <si>
    <t>Data 54</t>
  </si>
  <si>
    <t>Data 55</t>
  </si>
  <si>
    <t>Data 56</t>
  </si>
  <si>
    <t>Data 57</t>
  </si>
  <si>
    <t>Data 58</t>
  </si>
  <si>
    <t>Data 59</t>
  </si>
  <si>
    <t>Data 60</t>
  </si>
  <si>
    <t>Data 61</t>
  </si>
  <si>
    <t>Data 62</t>
  </si>
  <si>
    <t>Data 63</t>
  </si>
  <si>
    <t>Data 64</t>
  </si>
  <si>
    <t>Data 65</t>
  </si>
  <si>
    <t>Data 66</t>
  </si>
  <si>
    <t>Data 67</t>
  </si>
  <si>
    <t>Data 68</t>
  </si>
  <si>
    <t>Data 69</t>
  </si>
  <si>
    <t>Data 70</t>
  </si>
  <si>
    <t>Data 71</t>
  </si>
  <si>
    <t>Data 72</t>
  </si>
  <si>
    <t>Data 73</t>
  </si>
  <si>
    <t>Data 74</t>
  </si>
  <si>
    <t>Data 75</t>
  </si>
  <si>
    <t>Data 76</t>
  </si>
  <si>
    <t>Data 77</t>
  </si>
  <si>
    <t>Data 78</t>
  </si>
  <si>
    <t>Data 79</t>
  </si>
  <si>
    <t>Data 80</t>
  </si>
  <si>
    <t>Data 81</t>
  </si>
  <si>
    <t>Data 82</t>
  </si>
  <si>
    <t>Data 83</t>
  </si>
  <si>
    <t>Data 84</t>
  </si>
  <si>
    <t>Data 85</t>
  </si>
  <si>
    <t>Data 86</t>
  </si>
  <si>
    <t>Data 87</t>
  </si>
  <si>
    <t>Data 88</t>
  </si>
  <si>
    <t>Data 89</t>
  </si>
  <si>
    <t>Data 90</t>
  </si>
  <si>
    <t>Data 91</t>
  </si>
  <si>
    <t>Data 92</t>
  </si>
  <si>
    <t>Data 93</t>
  </si>
  <si>
    <t>Data 94</t>
  </si>
  <si>
    <t>Data 95</t>
  </si>
  <si>
    <t>VAH_1</t>
  </si>
  <si>
    <t>Calculations:</t>
  </si>
  <si>
    <t>Red</t>
  </si>
  <si>
    <t>Actual</t>
  </si>
  <si>
    <t>Zero Line</t>
  </si>
  <si>
    <t>Var</t>
  </si>
  <si>
    <t>VAH_2</t>
  </si>
  <si>
    <t>WAT_1</t>
  </si>
  <si>
    <t>Income</t>
  </si>
  <si>
    <t>VR_1</t>
  </si>
  <si>
    <t>G1_44</t>
  </si>
  <si>
    <t>Num</t>
  </si>
  <si>
    <t>Skin 1</t>
  </si>
  <si>
    <t>TL_484</t>
  </si>
  <si>
    <t>TL_V1</t>
  </si>
  <si>
    <t>Expense</t>
  </si>
  <si>
    <t>KPIs</t>
  </si>
  <si>
    <t>Net Profit vs Target</t>
  </si>
  <si>
    <t xml:space="preserve"> </t>
  </si>
  <si>
    <t>Gösterge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</si>
  <si>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</si>
  <si>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</si>
  <si>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</si>
  <si>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</si>
  <si>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</si>
  <si>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</si>
  <si>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</si>
  <si>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</si>
  <si>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</si>
  <si>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</si>
  <si>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</si>
  <si>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</si>
  <si>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</si>
  <si>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Gelir</t>
  </si>
  <si>
    <t>Brüt Kâr</t>
  </si>
  <si>
    <t>Toplam Faaliyet Giderleri</t>
  </si>
  <si>
    <t>Faaliyet Kârı (EBIT)</t>
  </si>
  <si>
    <t>Vergiler</t>
  </si>
  <si>
    <t>Net Kâr</t>
  </si>
  <si>
    <t>Net Kâr Marjı (%)</t>
  </si>
  <si>
    <t>Giderler</t>
  </si>
  <si>
    <t>Hızlı Oran</t>
  </si>
  <si>
    <t>Cari Oran</t>
  </si>
  <si>
    <t>Alacak Hesapları</t>
  </si>
  <si>
    <t>Ödenecek Hesaplar</t>
  </si>
  <si>
    <t>Gelir Bütçesi</t>
  </si>
  <si>
    <t>Gelir Bütçesinin %'si</t>
  </si>
  <si>
    <t>Giderler Bütçesi</t>
  </si>
  <si>
    <t>Giderler Bütçesinin %'si</t>
  </si>
  <si>
    <t>Seçili dönem ile T-1 dönemi arasında varyans</t>
  </si>
  <si>
    <t>Seçilen Ay</t>
  </si>
  <si>
    <t>Gider</t>
  </si>
  <si>
    <t>Net Kar Marjı Fiili</t>
  </si>
  <si>
    <t>Net Kar Marjı Hedefi</t>
  </si>
  <si>
    <t>Net kar Marjı %</t>
  </si>
  <si>
    <t>Gelir ve Giderler</t>
  </si>
  <si>
    <t>Gelir Tablosu</t>
  </si>
  <si>
    <t>Toplam Gelir</t>
  </si>
  <si>
    <t>Satılan Malların Maliyeti</t>
  </si>
  <si>
    <t>Brüt Kar</t>
  </si>
  <si>
    <t xml:space="preserve">Toplam Faaliyet Giderleri  </t>
  </si>
  <si>
    <t>Faaliyet Karı (EBIT)</t>
  </si>
  <si>
    <t xml:space="preserve">Net Kâr   </t>
  </si>
  <si>
    <t>Genel Durum</t>
  </si>
  <si>
    <t>Ay Sonundaki Nakit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</si>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</sst>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&quot;+&quot;#,##0;&quot;-&quot;#,##0"/>
    <numFmt numFmtId="167" formatCode="\+#,##0_ ;[Red]\-#,##0\ "/>
    <numFmt numFmtId="168" formatCode="_ * #,##0_)\ _$_ ;_ * \(#,##0\)\ _$_ ;_ * &quot;-&quot;??_)\ _$_ ;_ @_ "/>
    <numFmt numFmtId="169" formatCode="[$-41F]mmmm\ yyyy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24"/>
      <color theme="1" tint="0.249977111117893"/>
      <name val="Segoe UI"/>
      <family val="2"/>
    </font>
    <font>
      <b/>
      <sz val="11"/>
      <color theme="1"/>
      <name val="Segoe UI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6"/>
      <color rgb="FFFF0000"/>
      <name val="Calibri"/>
      <family val="2"/>
      <scheme val="minor"/>
    </font>
    <font>
      <b/>
      <sz val="26"/>
      <color theme="1" tint="0.249977111117893"/>
      <name val="Segoe UI"/>
      <family val="2"/>
    </font>
    <font>
      <b/>
      <sz val="12"/>
      <color theme="0"/>
      <name val="Segoe UI"/>
      <family val="2"/>
    </font>
    <font>
      <sz val="12"/>
      <color theme="1" tint="0.249977111117893"/>
      <name val="Segoe UI"/>
      <family val="2"/>
    </font>
    <font>
      <b/>
      <sz val="12"/>
      <color theme="1" tint="0.249977111117893"/>
      <name val="Segoe UI"/>
      <family val="2"/>
    </font>
    <font>
      <b/>
      <sz val="12"/>
      <color theme="1"/>
      <name val="Segoe UI"/>
      <family val="2"/>
    </font>
    <font>
      <b/>
      <sz val="12"/>
      <name val="Segoe UI"/>
      <family val="2"/>
    </font>
    <font>
      <i/>
      <sz val="11"/>
      <color rgb="FF7F7F7F"/>
      <name val="Calibri"/>
      <family val="2"/>
      <scheme val="minor"/>
    </font>
    <font>
      <b/>
      <i/>
      <sz val="11"/>
      <color theme="1" tint="0.249977111117893"/>
      <name val="Segoe UI"/>
      <family val="2"/>
    </font>
    <font>
      <i/>
      <sz val="11"/>
      <color theme="1" tint="0.34998626667073579"/>
      <name val="Segoe UI"/>
      <family val="2"/>
    </font>
    <font>
      <b/>
      <i/>
      <sz val="11"/>
      <color theme="1" tint="0.34998626667073579"/>
      <name val="Segoe UI"/>
      <family val="2"/>
    </font>
    <font>
      <b/>
      <i/>
      <sz val="12"/>
      <color theme="1" tint="0.249977111117893"/>
      <name val="Segoe UI"/>
      <family val="2"/>
    </font>
    <font>
      <sz val="11"/>
      <color theme="0" tint="-4.9989318521683403E-2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0"/>
      <color rgb="FF7F7F7F"/>
      <name val="Arial"/>
      <family val="2"/>
    </font>
    <font>
      <sz val="11"/>
      <color rgb="FF7F7F7F"/>
      <name val="Calibri"/>
      <family val="2"/>
      <scheme val="minor"/>
    </font>
    <font>
      <b/>
      <sz val="10"/>
      <color theme="1"/>
      <name val="Segoe UI"/>
      <family val="2"/>
    </font>
    <font>
      <b/>
      <sz val="24"/>
      <color theme="1"/>
      <name val="Segoe UI"/>
      <family val="2"/>
    </font>
    <font>
      <sz val="8"/>
      <name val="Calibri"/>
      <family val="2"/>
      <scheme val="minor"/>
    </font>
    <font>
      <i/>
      <sz val="11"/>
      <color rgb="FF435361"/>
      <name val="Segoe UI"/>
      <family val="2"/>
    </font>
    <font>
      <b/>
      <i/>
      <sz val="11"/>
      <color rgb="FF435361"/>
      <name val="Calibri"/>
      <family val="2"/>
      <scheme val="minor"/>
    </font>
    <font>
      <i/>
      <sz val="11"/>
      <color rgb="FF435361"/>
      <name val="Calibri"/>
      <family val="2"/>
      <scheme val="minor"/>
    </font>
    <font>
      <sz val="11"/>
      <color rgb="FF43536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E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1B1A3"/>
        <bgColor indexed="64"/>
      </patternFill>
    </fill>
    <fill>
      <patternFill patternType="solid">
        <fgColor rgb="FFFB5A5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EFF5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 style="double">
        <color theme="0" tint="-4.9989318521683403E-2"/>
      </top>
      <bottom/>
      <diagonal/>
    </border>
    <border>
      <left/>
      <right/>
      <top style="double">
        <color theme="0" tint="-4.9989318521683403E-2"/>
      </top>
      <bottom style="medium">
        <color theme="0" tint="-4.9989318521683403E-2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/>
      <top/>
      <bottom style="medium">
        <color theme="1" tint="0.24994659260841701"/>
      </bottom>
      <diagonal/>
    </border>
    <border>
      <left/>
      <right style="thin">
        <color theme="0" tint="-0.24994659260841701"/>
      </right>
      <top/>
      <bottom style="medium">
        <color theme="1" tint="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13" borderId="0" applyNumberFormat="0" applyBorder="0" applyAlignment="0" applyProtection="0"/>
    <xf numFmtId="0" fontId="27" fillId="0" borderId="0" applyNumberFormat="0" applyFill="0" applyBorder="0" applyAlignment="0" applyProtection="0"/>
    <xf numFmtId="0" fontId="45" fillId="0" borderId="0"/>
    <xf numFmtId="0" fontId="1" fillId="0" borderId="0"/>
    <xf numFmtId="0" fontId="49" fillId="0" borderId="0" applyNumberForma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" fontId="0" fillId="2" borderId="0" xfId="0" applyNumberFormat="1" applyFill="1" applyAlignment="1">
      <alignment vertical="center"/>
    </xf>
    <xf numFmtId="4" fontId="5" fillId="0" borderId="0" xfId="0" applyNumberFormat="1" applyFont="1" applyAlignment="1">
      <alignment vertical="center"/>
    </xf>
    <xf numFmtId="0" fontId="0" fillId="0" borderId="0" xfId="0" applyAlignment="1" applyProtection="1">
      <alignment vertical="center"/>
      <protection hidden="1"/>
    </xf>
    <xf numFmtId="0" fontId="3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1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66" fontId="0" fillId="12" borderId="0" xfId="0" applyNumberFormat="1" applyFill="1" applyAlignment="1">
      <alignment horizontal="center" vertical="center"/>
    </xf>
    <xf numFmtId="167" fontId="3" fillId="12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13" fillId="0" borderId="0" xfId="0" applyFont="1" applyAlignment="1">
      <alignment vertical="center"/>
    </xf>
    <xf numFmtId="0" fontId="4" fillId="3" borderId="5" xfId="0" applyFont="1" applyFill="1" applyBorder="1" applyAlignment="1" applyProtection="1">
      <alignment vertical="center"/>
      <protection hidden="1"/>
    </xf>
    <xf numFmtId="0" fontId="4" fillId="3" borderId="0" xfId="0" applyFont="1" applyFill="1" applyAlignment="1" applyProtection="1">
      <alignment vertical="top"/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2" applyFill="1" applyBorder="1" applyAlignment="1" applyProtection="1">
      <alignment vertical="center"/>
      <protection hidden="1"/>
    </xf>
    <xf numFmtId="166" fontId="0" fillId="0" borderId="0" xfId="0" applyNumberFormat="1" applyAlignment="1">
      <alignment horizontal="center"/>
    </xf>
    <xf numFmtId="0" fontId="5" fillId="14" borderId="6" xfId="2" applyFill="1" applyBorder="1" applyAlignment="1" applyProtection="1">
      <alignment vertical="center"/>
      <protection hidden="1"/>
    </xf>
    <xf numFmtId="168" fontId="4" fillId="3" borderId="5" xfId="0" applyNumberFormat="1" applyFont="1" applyFill="1" applyBorder="1" applyAlignment="1" applyProtection="1">
      <alignment vertical="center"/>
      <protection hidden="1"/>
    </xf>
    <xf numFmtId="168" fontId="4" fillId="3" borderId="0" xfId="0" applyNumberFormat="1" applyFont="1" applyFill="1" applyAlignment="1" applyProtection="1">
      <alignment vertical="center"/>
      <protection hidden="1"/>
    </xf>
    <xf numFmtId="168" fontId="6" fillId="3" borderId="0" xfId="0" applyNumberFormat="1" applyFont="1" applyFill="1" applyAlignment="1" applyProtection="1">
      <alignment horizontal="center" vertical="center"/>
      <protection hidden="1"/>
    </xf>
    <xf numFmtId="168" fontId="6" fillId="0" borderId="0" xfId="0" applyNumberFormat="1" applyFont="1" applyAlignment="1" applyProtection="1">
      <alignment horizontal="center" vertical="center"/>
      <protection hidden="1"/>
    </xf>
    <xf numFmtId="168" fontId="5" fillId="14" borderId="6" xfId="2" applyNumberForma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7" fillId="3" borderId="3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9" fontId="13" fillId="0" borderId="0" xfId="1" applyFont="1" applyAlignment="1">
      <alignment vertical="center"/>
    </xf>
    <xf numFmtId="3" fontId="16" fillId="2" borderId="0" xfId="0" applyNumberFormat="1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top"/>
    </xf>
    <xf numFmtId="3" fontId="10" fillId="2" borderId="0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top"/>
    </xf>
    <xf numFmtId="0" fontId="23" fillId="2" borderId="0" xfId="0" applyFont="1" applyFill="1" applyAlignment="1">
      <alignment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164" fontId="0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center" vertical="center" wrapText="1"/>
    </xf>
    <xf numFmtId="0" fontId="28" fillId="9" borderId="10" xfId="3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5" fillId="12" borderId="0" xfId="0" applyFont="1" applyFill="1" applyAlignment="1" applyProtection="1">
      <alignment vertical="center"/>
      <protection hidden="1"/>
    </xf>
    <xf numFmtId="164" fontId="15" fillId="9" borderId="2" xfId="0" applyNumberFormat="1" applyFont="1" applyFill="1" applyBorder="1" applyAlignment="1" applyProtection="1">
      <alignment horizontal="center" vertical="center"/>
      <protection locked="0"/>
    </xf>
    <xf numFmtId="164" fontId="4" fillId="2" borderId="0" xfId="1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64" fontId="8" fillId="2" borderId="0" xfId="1" applyNumberFormat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9" fontId="0" fillId="2" borderId="0" xfId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17" fillId="0" borderId="0" xfId="0" applyFont="1" applyProtection="1">
      <protection hidden="1"/>
    </xf>
    <xf numFmtId="9" fontId="17" fillId="0" borderId="0" xfId="1" applyFont="1" applyBorder="1" applyAlignment="1" applyProtection="1">
      <alignment vertical="center"/>
      <protection hidden="1"/>
    </xf>
    <xf numFmtId="164" fontId="17" fillId="0" borderId="0" xfId="0" applyNumberFormat="1" applyFont="1" applyAlignment="1" applyProtection="1">
      <alignment vertical="center"/>
      <protection hidden="1"/>
    </xf>
    <xf numFmtId="9" fontId="0" fillId="0" borderId="0" xfId="0" applyNumberFormat="1"/>
    <xf numFmtId="0" fontId="32" fillId="2" borderId="0" xfId="0" applyFont="1" applyFill="1" applyAlignment="1">
      <alignment vertical="center"/>
    </xf>
    <xf numFmtId="164" fontId="35" fillId="3" borderId="0" xfId="3" applyNumberFormat="1" applyFont="1" applyFill="1" applyAlignment="1">
      <alignment horizontal="center" vertical="center"/>
    </xf>
    <xf numFmtId="164" fontId="37" fillId="0" borderId="0" xfId="1" applyNumberFormat="1" applyFont="1" applyBorder="1" applyAlignment="1" applyProtection="1">
      <alignment horizontal="center" vertical="center"/>
      <protection hidden="1"/>
    </xf>
    <xf numFmtId="0" fontId="33" fillId="0" borderId="0" xfId="3" applyFont="1" applyFill="1"/>
    <xf numFmtId="0" fontId="13" fillId="0" borderId="0" xfId="0" applyFont="1" applyAlignment="1" applyProtection="1">
      <alignment vertical="center"/>
      <protection hidden="1"/>
    </xf>
    <xf numFmtId="0" fontId="27" fillId="0" borderId="0" xfId="3" applyFill="1" applyAlignment="1">
      <alignment vertical="center"/>
    </xf>
    <xf numFmtId="164" fontId="0" fillId="17" borderId="0" xfId="0" applyNumberFormat="1" applyFill="1"/>
    <xf numFmtId="164" fontId="0" fillId="18" borderId="0" xfId="0" applyNumberFormat="1" applyFill="1"/>
    <xf numFmtId="164" fontId="17" fillId="0" borderId="0" xfId="0" applyNumberFormat="1" applyFont="1"/>
    <xf numFmtId="164" fontId="40" fillId="0" borderId="0" xfId="1" applyNumberFormat="1" applyFont="1" applyFill="1" applyAlignment="1">
      <alignment vertical="center"/>
    </xf>
    <xf numFmtId="0" fontId="28" fillId="9" borderId="10" xfId="3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29" fillId="3" borderId="0" xfId="3" applyFont="1" applyFill="1" applyBorder="1" applyAlignment="1" applyProtection="1">
      <alignment horizontal="center" vertical="center"/>
      <protection hidden="1"/>
    </xf>
    <xf numFmtId="1" fontId="29" fillId="3" borderId="0" xfId="3" applyNumberFormat="1" applyFont="1" applyFill="1" applyBorder="1" applyAlignment="1" applyProtection="1">
      <alignment horizontal="center" vertical="center"/>
      <protection hidden="1"/>
    </xf>
    <xf numFmtId="10" fontId="29" fillId="3" borderId="0" xfId="1" applyNumberFormat="1" applyFont="1" applyFill="1" applyBorder="1" applyAlignment="1" applyProtection="1">
      <alignment horizontal="center" vertical="center"/>
      <protection hidden="1"/>
    </xf>
    <xf numFmtId="1" fontId="30" fillId="3" borderId="0" xfId="3" applyNumberFormat="1" applyFont="1" applyFill="1" applyBorder="1" applyAlignment="1" applyProtection="1">
      <alignment horizontal="center" vertical="center"/>
      <protection hidden="1"/>
    </xf>
    <xf numFmtId="2" fontId="29" fillId="3" borderId="0" xfId="3" applyNumberFormat="1" applyFont="1" applyFill="1" applyBorder="1" applyAlignment="1" applyProtection="1">
      <alignment horizontal="center" vertical="center"/>
      <protection hidden="1"/>
    </xf>
    <xf numFmtId="9" fontId="29" fillId="3" borderId="0" xfId="1" applyFont="1" applyFill="1" applyBorder="1" applyAlignment="1" applyProtection="1">
      <alignment horizontal="center" vertical="center"/>
      <protection hidden="1"/>
    </xf>
    <xf numFmtId="4" fontId="5" fillId="3" borderId="0" xfId="0" applyNumberFormat="1" applyFont="1" applyFill="1" applyAlignment="1">
      <alignment vertical="center"/>
    </xf>
    <xf numFmtId="0" fontId="28" fillId="9" borderId="15" xfId="3" applyFont="1" applyFill="1" applyBorder="1" applyAlignment="1">
      <alignment horizontal="center" vertical="center"/>
    </xf>
    <xf numFmtId="0" fontId="28" fillId="9" borderId="16" xfId="3" applyFont="1" applyFill="1" applyBorder="1" applyAlignment="1">
      <alignment horizontal="center" vertical="center" wrapText="1"/>
    </xf>
    <xf numFmtId="0" fontId="28" fillId="3" borderId="0" xfId="3" applyFont="1" applyFill="1" applyBorder="1" applyAlignment="1">
      <alignment horizontal="center" vertical="center"/>
    </xf>
    <xf numFmtId="0" fontId="29" fillId="0" borderId="0" xfId="3" applyFont="1" applyFill="1" applyBorder="1" applyAlignment="1" applyProtection="1">
      <alignment horizontal="center" vertical="center"/>
    </xf>
    <xf numFmtId="0" fontId="30" fillId="0" borderId="0" xfId="3" applyFont="1" applyFill="1" applyBorder="1" applyAlignment="1" applyProtection="1">
      <alignment vertical="center"/>
      <protection hidden="1"/>
    </xf>
    <xf numFmtId="9" fontId="29" fillId="0" borderId="0" xfId="1" applyFont="1" applyFill="1" applyBorder="1" applyAlignment="1" applyProtection="1">
      <alignment horizontal="center" vertical="center"/>
      <protection hidden="1"/>
    </xf>
    <xf numFmtId="0" fontId="28" fillId="9" borderId="16" xfId="3" applyFont="1" applyFill="1" applyBorder="1" applyAlignment="1">
      <alignment horizontal="left" vertical="center"/>
    </xf>
    <xf numFmtId="0" fontId="28" fillId="0" borderId="0" xfId="3" applyFont="1" applyFill="1" applyBorder="1" applyAlignment="1">
      <alignment horizontal="center" vertical="center"/>
    </xf>
    <xf numFmtId="0" fontId="29" fillId="0" borderId="0" xfId="3" applyFont="1" applyFill="1" applyBorder="1" applyAlignment="1" applyProtection="1">
      <alignment horizontal="center" vertical="center"/>
      <protection hidden="1"/>
    </xf>
    <xf numFmtId="0" fontId="30" fillId="0" borderId="0" xfId="3" applyFont="1" applyFill="1" applyBorder="1" applyAlignment="1" applyProtection="1">
      <alignment horizontal="center" vertical="center"/>
    </xf>
    <xf numFmtId="0" fontId="30" fillId="15" borderId="12" xfId="3" applyFont="1" applyFill="1" applyBorder="1" applyAlignment="1" applyProtection="1">
      <alignment horizontal="center" vertical="center"/>
      <protection hidden="1"/>
    </xf>
    <xf numFmtId="164" fontId="40" fillId="0" borderId="0" xfId="1" applyNumberFormat="1" applyFont="1" applyFill="1" applyAlignment="1">
      <alignment horizontal="center" vertical="center"/>
    </xf>
    <xf numFmtId="0" fontId="41" fillId="3" borderId="0" xfId="3" applyFont="1" applyFill="1" applyAlignment="1" applyProtection="1">
      <alignment vertical="center"/>
      <protection hidden="1"/>
    </xf>
    <xf numFmtId="0" fontId="33" fillId="0" borderId="0" xfId="3" applyFont="1" applyFill="1" applyAlignment="1">
      <alignment horizontal="left" vertical="center"/>
    </xf>
    <xf numFmtId="0" fontId="34" fillId="0" borderId="0" xfId="3" applyFont="1" applyFill="1" applyAlignment="1" applyProtection="1">
      <alignment vertical="center"/>
      <protection hidden="1"/>
    </xf>
    <xf numFmtId="0" fontId="34" fillId="0" borderId="0" xfId="3" applyFont="1" applyFill="1" applyAlignment="1">
      <alignment vertical="center"/>
    </xf>
    <xf numFmtId="164" fontId="17" fillId="0" borderId="0" xfId="1" applyNumberFormat="1" applyFont="1" applyFill="1" applyBorder="1" applyAlignment="1" applyProtection="1">
      <alignment vertical="center"/>
      <protection hidden="1"/>
    </xf>
    <xf numFmtId="0" fontId="44" fillId="0" borderId="0" xfId="0" applyFont="1" applyAlignment="1">
      <alignment horizontal="left" vertical="center"/>
    </xf>
    <xf numFmtId="0" fontId="43" fillId="0" borderId="0" xfId="0" applyFont="1" applyAlignment="1" applyProtection="1">
      <alignment vertical="center"/>
      <protection hidden="1"/>
    </xf>
    <xf numFmtId="0" fontId="43" fillId="0" borderId="0" xfId="3" applyFont="1" applyFill="1" applyAlignment="1">
      <alignment vertical="center"/>
    </xf>
    <xf numFmtId="0" fontId="33" fillId="19" borderId="0" xfId="3" applyFont="1" applyFill="1"/>
    <xf numFmtId="0" fontId="44" fillId="19" borderId="0" xfId="0" applyFont="1" applyFill="1" applyAlignment="1">
      <alignment horizontal="left" vertical="center"/>
    </xf>
    <xf numFmtId="0" fontId="33" fillId="19" borderId="0" xfId="3" applyFont="1" applyFill="1" applyAlignment="1">
      <alignment horizontal="left" vertical="center"/>
    </xf>
    <xf numFmtId="0" fontId="13" fillId="19" borderId="0" xfId="0" applyFont="1" applyFill="1" applyAlignment="1" applyProtection="1">
      <alignment vertical="center"/>
      <protection hidden="1"/>
    </xf>
    <xf numFmtId="0" fontId="36" fillId="19" borderId="0" xfId="3" applyFont="1" applyFill="1" applyAlignment="1">
      <alignment vertical="center"/>
    </xf>
    <xf numFmtId="0" fontId="13" fillId="19" borderId="0" xfId="0" applyFont="1" applyFill="1" applyAlignment="1">
      <alignment vertical="center"/>
    </xf>
    <xf numFmtId="0" fontId="0" fillId="19" borderId="0" xfId="0" applyFill="1"/>
    <xf numFmtId="0" fontId="42" fillId="0" borderId="0" xfId="3" applyFont="1" applyFill="1"/>
    <xf numFmtId="0" fontId="30" fillId="20" borderId="17" xfId="3" applyFont="1" applyFill="1" applyBorder="1" applyAlignment="1" applyProtection="1">
      <alignment vertical="center"/>
      <protection hidden="1"/>
    </xf>
    <xf numFmtId="0" fontId="29" fillId="20" borderId="12" xfId="3" applyFont="1" applyFill="1" applyBorder="1" applyAlignment="1" applyProtection="1">
      <alignment horizontal="center" vertical="center"/>
      <protection hidden="1"/>
    </xf>
    <xf numFmtId="0" fontId="30" fillId="20" borderId="18" xfId="3" applyFont="1" applyFill="1" applyBorder="1" applyAlignment="1" applyProtection="1">
      <alignment vertical="center"/>
      <protection hidden="1"/>
    </xf>
    <xf numFmtId="1" fontId="29" fillId="20" borderId="12" xfId="3" applyNumberFormat="1" applyFont="1" applyFill="1" applyBorder="1" applyAlignment="1" applyProtection="1">
      <alignment horizontal="center" vertical="center"/>
      <protection hidden="1"/>
    </xf>
    <xf numFmtId="0" fontId="30" fillId="20" borderId="19" xfId="3" applyFont="1" applyFill="1" applyBorder="1" applyAlignment="1" applyProtection="1">
      <alignment vertical="center"/>
      <protection hidden="1"/>
    </xf>
    <xf numFmtId="1" fontId="29" fillId="20" borderId="11" xfId="3" applyNumberFormat="1" applyFont="1" applyFill="1" applyBorder="1" applyAlignment="1" applyProtection="1">
      <alignment horizontal="center" vertical="center"/>
      <protection hidden="1"/>
    </xf>
    <xf numFmtId="10" fontId="29" fillId="20" borderId="12" xfId="1" applyNumberFormat="1" applyFont="1" applyFill="1" applyBorder="1" applyAlignment="1" applyProtection="1">
      <alignment horizontal="center" vertical="center"/>
      <protection hidden="1"/>
    </xf>
    <xf numFmtId="0" fontId="30" fillId="20" borderId="20" xfId="3" applyFont="1" applyFill="1" applyBorder="1" applyAlignment="1" applyProtection="1">
      <alignment vertical="center"/>
      <protection hidden="1"/>
    </xf>
    <xf numFmtId="1" fontId="29" fillId="20" borderId="13" xfId="3" applyNumberFormat="1" applyFont="1" applyFill="1" applyBorder="1" applyAlignment="1" applyProtection="1">
      <alignment horizontal="center" vertical="center"/>
      <protection hidden="1"/>
    </xf>
    <xf numFmtId="0" fontId="30" fillId="20" borderId="21" xfId="3" applyFont="1" applyFill="1" applyBorder="1" applyAlignment="1" applyProtection="1">
      <alignment vertical="center"/>
      <protection hidden="1"/>
    </xf>
    <xf numFmtId="0" fontId="30" fillId="20" borderId="22" xfId="3" applyFont="1" applyFill="1" applyBorder="1" applyAlignment="1" applyProtection="1">
      <alignment vertical="center"/>
      <protection hidden="1"/>
    </xf>
    <xf numFmtId="9" fontId="29" fillId="20" borderId="12" xfId="1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vertical="center" wrapText="1"/>
      <protection hidden="1"/>
    </xf>
    <xf numFmtId="0" fontId="29" fillId="0" borderId="12" xfId="3" applyFont="1" applyFill="1" applyBorder="1" applyAlignment="1" applyProtection="1">
      <alignment horizontal="center" vertical="center"/>
      <protection hidden="1"/>
    </xf>
    <xf numFmtId="1" fontId="29" fillId="0" borderId="12" xfId="3" applyNumberFormat="1" applyFont="1" applyFill="1" applyBorder="1" applyAlignment="1" applyProtection="1">
      <alignment horizontal="center" vertical="center"/>
      <protection hidden="1"/>
    </xf>
    <xf numFmtId="0" fontId="29" fillId="0" borderId="11" xfId="3" applyFont="1" applyFill="1" applyBorder="1" applyAlignment="1" applyProtection="1">
      <alignment horizontal="center" vertical="center"/>
      <protection hidden="1"/>
    </xf>
    <xf numFmtId="2" fontId="29" fillId="0" borderId="12" xfId="3" applyNumberFormat="1" applyFont="1" applyFill="1" applyBorder="1" applyAlignment="1" applyProtection="1">
      <alignment horizontal="center" vertical="center"/>
      <protection hidden="1"/>
    </xf>
    <xf numFmtId="1" fontId="29" fillId="0" borderId="13" xfId="3" applyNumberFormat="1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Alignment="1">
      <alignment horizontal="center" vertical="center"/>
    </xf>
    <xf numFmtId="169" fontId="13" fillId="2" borderId="0" xfId="0" applyNumberFormat="1" applyFont="1" applyFill="1" applyAlignment="1">
      <alignment vertical="center"/>
    </xf>
    <xf numFmtId="0" fontId="29" fillId="20" borderId="11" xfId="3" applyFont="1" applyFill="1" applyBorder="1" applyAlignment="1" applyProtection="1">
      <alignment horizontal="center" vertical="center"/>
      <protection hidden="1"/>
    </xf>
    <xf numFmtId="2" fontId="29" fillId="20" borderId="11" xfId="3" applyNumberFormat="1" applyFont="1" applyFill="1" applyBorder="1" applyAlignment="1" applyProtection="1">
      <alignment horizontal="center" vertical="center"/>
      <protection hidden="1"/>
    </xf>
    <xf numFmtId="2" fontId="29" fillId="20" borderId="12" xfId="3" applyNumberFormat="1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0" fontId="7" fillId="0" borderId="0" xfId="1" applyNumberFormat="1" applyFont="1" applyBorder="1" applyAlignment="1">
      <alignment horizontal="center" vertical="top"/>
    </xf>
    <xf numFmtId="9" fontId="4" fillId="0" borderId="0" xfId="0" applyNumberFormat="1" applyFont="1" applyAlignment="1">
      <alignment horizontal="center" vertical="top"/>
    </xf>
    <xf numFmtId="0" fontId="26" fillId="3" borderId="0" xfId="0" applyFont="1" applyFill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" fontId="21" fillId="0" borderId="9" xfId="0" applyNumberFormat="1" applyFont="1" applyBorder="1" applyAlignment="1">
      <alignment horizontal="center" vertical="top"/>
    </xf>
    <xf numFmtId="3" fontId="21" fillId="0" borderId="0" xfId="0" applyNumberFormat="1" applyFont="1" applyAlignment="1">
      <alignment horizontal="center" vertical="top"/>
    </xf>
    <xf numFmtId="3" fontId="21" fillId="0" borderId="9" xfId="1" applyNumberFormat="1" applyFont="1" applyBorder="1" applyAlignment="1">
      <alignment horizontal="center" vertical="top"/>
    </xf>
    <xf numFmtId="3" fontId="21" fillId="0" borderId="0" xfId="1" applyNumberFormat="1" applyFont="1" applyBorder="1" applyAlignment="1">
      <alignment horizontal="center" vertical="top"/>
    </xf>
    <xf numFmtId="0" fontId="26" fillId="3" borderId="4" xfId="0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horizontal="center" vertical="top"/>
    </xf>
    <xf numFmtId="0" fontId="14" fillId="2" borderId="0" xfId="0" applyFont="1" applyFill="1" applyAlignment="1">
      <alignment horizontal="left" vertical="center"/>
    </xf>
    <xf numFmtId="9" fontId="38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16" borderId="2" xfId="3" applyFont="1" applyFill="1" applyBorder="1" applyAlignment="1">
      <alignment horizontal="left" vertical="center"/>
    </xf>
    <xf numFmtId="0" fontId="31" fillId="16" borderId="1" xfId="3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" fillId="14" borderId="7" xfId="2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>
      <alignment horizontal="center" vertical="center"/>
    </xf>
    <xf numFmtId="0" fontId="46" fillId="21" borderId="0" xfId="5" applyFont="1" applyFill="1" applyAlignment="1">
      <alignment horizontal="left" vertical="center" wrapText="1"/>
    </xf>
    <xf numFmtId="0" fontId="46" fillId="21" borderId="0" xfId="5" applyFont="1" applyFill="1" applyAlignment="1">
      <alignment horizontal="left" vertical="center"/>
    </xf>
    <xf numFmtId="0" fontId="47" fillId="21" borderId="23" xfId="5" applyFont="1" applyFill="1" applyBorder="1" applyAlignment="1">
      <alignment horizontal="left" vertical="center" wrapText="1" indent="1"/>
    </xf>
    <xf numFmtId="0" fontId="47" fillId="21" borderId="0" xfId="5" applyFont="1" applyFill="1" applyAlignment="1">
      <alignment horizontal="left" vertical="center" wrapText="1" indent="1"/>
    </xf>
    <xf numFmtId="0" fontId="47" fillId="21" borderId="0" xfId="5" applyFont="1" applyFill="1" applyAlignment="1">
      <alignment horizontal="left" vertical="top" wrapText="1"/>
    </xf>
    <xf numFmtId="0" fontId="1" fillId="0" borderId="0" xfId="5" applyAlignment="1">
      <alignment horizontal="left" vertical="center" wrapText="1"/>
    </xf>
    <xf numFmtId="0" fontId="1" fillId="0" borderId="0" xfId="5" applyAlignment="1">
      <alignment horizontal="left" vertical="center"/>
    </xf>
    <xf numFmtId="0" fontId="1" fillId="2" borderId="0" xfId="5" applyFill="1" applyAlignment="1">
      <alignment horizontal="left" vertical="center"/>
    </xf>
    <xf numFmtId="0" fontId="1" fillId="2" borderId="0" xfId="5" applyFill="1" applyAlignment="1">
      <alignment horizontal="left" vertical="top"/>
    </xf>
    <xf numFmtId="0" fontId="48" fillId="2" borderId="24" xfId="5" applyFont="1" applyFill="1" applyBorder="1" applyAlignment="1">
      <alignment vertical="top"/>
    </xf>
    <xf numFmtId="0" fontId="1" fillId="2" borderId="24" xfId="5" applyFill="1" applyBorder="1" applyAlignment="1">
      <alignment vertical="top" wrapText="1"/>
    </xf>
    <xf numFmtId="0" fontId="1" fillId="0" borderId="0" xfId="5" applyAlignment="1">
      <alignment horizontal="left" vertical="top"/>
    </xf>
    <xf numFmtId="0" fontId="49" fillId="2" borderId="0" xfId="6" applyFill="1" applyAlignment="1">
      <alignment horizontal="left" vertical="center"/>
    </xf>
    <xf numFmtId="0" fontId="1" fillId="2" borderId="0" xfId="5" applyFill="1" applyAlignment="1">
      <alignment vertical="center" wrapText="1"/>
    </xf>
    <xf numFmtId="0" fontId="1" fillId="2" borderId="0" xfId="5" applyFill="1" applyAlignment="1">
      <alignment vertical="top" wrapText="1"/>
    </xf>
    <xf numFmtId="0" fontId="1" fillId="2" borderId="0" xfId="5" applyFill="1"/>
    <xf numFmtId="0" fontId="1" fillId="2" borderId="0" xfId="5" applyFill="1" applyAlignment="1">
      <alignment horizontal="left" vertical="top" wrapText="1"/>
    </xf>
    <xf numFmtId="0" fontId="0" fillId="2" borderId="0" xfId="5" applyFont="1" applyFill="1" applyAlignment="1">
      <alignment horizontal="left" vertical="top" wrapText="1"/>
    </xf>
    <xf numFmtId="0" fontId="1" fillId="0" borderId="0" xfId="5"/>
    <xf numFmtId="0" fontId="1" fillId="2" borderId="0" xfId="5" applyFill="1" applyAlignment="1">
      <alignment horizontal="left" vertical="center" wrapText="1"/>
    </xf>
  </cellXfs>
  <cellStyles count="7">
    <cellStyle name="Accent5" xfId="2" builtinId="45"/>
    <cellStyle name="Explanatory Text" xfId="3" builtinId="53"/>
    <cellStyle name="Köprü 2" xfId="6" xr:uid="{64B98FA5-E70F-4335-A094-29B65469A061}"/>
    <cellStyle name="Normal" xfId="0" builtinId="0"/>
    <cellStyle name="Normal 2" xfId="4" xr:uid="{D32F7B52-2B85-440A-8767-728C5AFBC68B}"/>
    <cellStyle name="Normal 2 2" xfId="5" xr:uid="{9D0FF173-EB45-472D-8C04-F85230DE6930}"/>
    <cellStyle name="Percent" xfId="1" builtinId="5"/>
  </cellStyles>
  <dxfs count="40"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FB5A56"/>
      </font>
    </dxf>
    <dxf>
      <font>
        <color rgb="FF01B1A3"/>
      </font>
    </dxf>
    <dxf>
      <font>
        <color rgb="FF01B1A3"/>
      </font>
    </dxf>
    <dxf>
      <font>
        <color rgb="FFFB5A56"/>
      </font>
    </dxf>
    <dxf>
      <font>
        <color rgb="FFFB5A56"/>
      </font>
    </dxf>
    <dxf>
      <font>
        <color rgb="FF01B1A3"/>
      </font>
    </dxf>
    <dxf>
      <font>
        <color rgb="FF01B1A3"/>
      </font>
    </dxf>
    <dxf>
      <font>
        <color rgb="FFFB5A56"/>
      </font>
    </dxf>
  </dxfs>
  <tableStyles count="0" defaultTableStyle="TableStyleMedium2" defaultPivotStyle="PivotStyleLight16"/>
  <colors>
    <mruColors>
      <color rgb="FFF1EFF5"/>
      <color rgb="FFE5E0EC"/>
      <color rgb="FF01B1A3"/>
      <color rgb="FF435361"/>
      <color rgb="FFFB5A56"/>
      <color rgb="FFDCDCDC"/>
      <color rgb="FF647C92"/>
      <color rgb="FFF2C80F"/>
      <color rgb="FFFDF5D3"/>
      <color rgb="FFFEF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2.xml" /><ns0:Relationship Id="rId13" Type="http://schemas.openxmlformats.org/officeDocument/2006/relationships/externalLink" Target="externalLinks/externalLink7.xml" /><ns0:Relationship Id="rId18" Type="http://schemas.openxmlformats.org/officeDocument/2006/relationships/calcChain" Target="calcChain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1.xml" /><ns0:Relationship Id="rId12" Type="http://schemas.openxmlformats.org/officeDocument/2006/relationships/externalLink" Target="externalLinks/externalLink6.xml" /><ns0:Relationship Id="rId1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6" Type="http://schemas.openxmlformats.org/officeDocument/2006/relationships/styles" Target="styles.xml" /><ns0:Relationship Id="rId6" Type="http://schemas.openxmlformats.org/officeDocument/2006/relationships/worksheet" Target="worksheets/sheet6.xml" /><ns0:Relationship Id="rId11" Type="http://schemas.openxmlformats.org/officeDocument/2006/relationships/externalLink" Target="externalLinks/externalLink5.xml" /><ns0:Relationship Id="rId5" Type="http://schemas.openxmlformats.org/officeDocument/2006/relationships/worksheet" Target="worksheets/sheet5.xml" /><ns0:Relationship Id="rId15" Type="http://schemas.openxmlformats.org/officeDocument/2006/relationships/theme" Target="theme/theme1.xml" /><ns0:Relationship Id="rId10" Type="http://schemas.openxmlformats.org/officeDocument/2006/relationships/externalLink" Target="externalLinks/externalLink4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3.xml" /><ns0:Relationship Id="rId14" Type="http://schemas.openxmlformats.org/officeDocument/2006/relationships/externalLink" Target="externalLinks/externalLink8.xml" /></ns0: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1-A787-4255-BE16-D61E87468C10}"/>
              </c:ext>
            </c:extLst>
          </c:dPt>
          <c:dPt>
            <c:idx val="1"/>
            <c:bubble3D val="0"/>
            <c:spPr>
              <a:solidFill>
                <a:srgbClr val="435361"/>
              </a:solidFill>
            </c:spPr>
            <c:extLst>
              <c:ext xmlns:c16="http://schemas.microsoft.com/office/drawing/2014/chart" uri="{C3380CC4-5D6E-409C-BE32-E72D297353CC}">
                <c16:uniqueId val="{00000003-A787-4255-BE16-D61E87468C10}"/>
              </c:ext>
            </c:extLst>
          </c:dPt>
          <c:val>
            <c:numRef>
              <c:f>calc!$H$42:$H$43</c:f>
              <c:numCache>
                <c:formatCode>0%</c:formatCode>
                <c:ptCount val="2"/>
                <c:pt idx="0">
                  <c:v>0.81479452054794521</c:v>
                </c:pt>
                <c:pt idx="1">
                  <c:v>0.18520547945205479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87-4255-BE16-D61E87468C1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01B1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87-4255-BE16-D61E87468C10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87-4255-BE16-D61E87468C10}"/>
              </c:ext>
            </c:extLst>
          </c:dPt>
          <c:val>
            <c:numRef>
              <c:f>calc!$H$42:$H$43</c:f>
              <c:numCache>
                <c:formatCode>0%</c:formatCode>
                <c:ptCount val="2"/>
                <c:pt idx="0">
                  <c:v>0.81479452054794521</c:v>
                </c:pt>
                <c:pt idx="1">
                  <c:v>0.18520547945205479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87-4255-BE16-D61E87468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Veriler!$E$7:$P$7</c:f>
              <c:numCache>
                <c:formatCode>General</c:formatCode>
                <c:ptCount val="12"/>
                <c:pt idx="0">
                  <c:v>4501</c:v>
                </c:pt>
                <c:pt idx="1">
                  <c:v>4800</c:v>
                </c:pt>
                <c:pt idx="2">
                  <c:v>4300</c:v>
                </c:pt>
                <c:pt idx="3">
                  <c:v>5100</c:v>
                </c:pt>
                <c:pt idx="4">
                  <c:v>4800</c:v>
                </c:pt>
                <c:pt idx="5">
                  <c:v>5200</c:v>
                </c:pt>
                <c:pt idx="6">
                  <c:v>5100</c:v>
                </c:pt>
                <c:pt idx="7">
                  <c:v>4100</c:v>
                </c:pt>
                <c:pt idx="8">
                  <c:v>5200</c:v>
                </c:pt>
                <c:pt idx="9">
                  <c:v>5184</c:v>
                </c:pt>
                <c:pt idx="10">
                  <c:v>4800</c:v>
                </c:pt>
                <c:pt idx="11">
                  <c:v>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69-4F5A-BEAD-3CC34F4FF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Veriler!$E$15:$P$15</c:f>
              <c:numCache>
                <c:formatCode>0</c:formatCode>
                <c:ptCount val="12"/>
                <c:pt idx="0">
                  <c:v>3001</c:v>
                </c:pt>
                <c:pt idx="1">
                  <c:v>3059</c:v>
                </c:pt>
                <c:pt idx="2">
                  <c:v>3040</c:v>
                </c:pt>
                <c:pt idx="3">
                  <c:v>2974</c:v>
                </c:pt>
                <c:pt idx="4">
                  <c:v>2979</c:v>
                </c:pt>
                <c:pt idx="5">
                  <c:v>2993</c:v>
                </c:pt>
                <c:pt idx="6">
                  <c:v>3020</c:v>
                </c:pt>
                <c:pt idx="7">
                  <c:v>3087</c:v>
                </c:pt>
                <c:pt idx="8">
                  <c:v>3264</c:v>
                </c:pt>
                <c:pt idx="9">
                  <c:v>2939</c:v>
                </c:pt>
                <c:pt idx="10">
                  <c:v>2794</c:v>
                </c:pt>
                <c:pt idx="11">
                  <c:v>2668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2-454B-902D-D1495E6C0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435361"/>
              </a:solidFill>
              <a:round/>
            </a:ln>
            <a:effectLst/>
          </c:spPr>
          <c:marker>
            <c:symbol val="none"/>
          </c:marker>
          <c:val>
            <c:numRef>
              <c:f>Veriler!$E$19:$P$19</c:f>
              <c:numCache>
                <c:formatCode>General</c:formatCode>
                <c:ptCount val="12"/>
                <c:pt idx="0">
                  <c:v>1060</c:v>
                </c:pt>
                <c:pt idx="1">
                  <c:v>991</c:v>
                </c:pt>
                <c:pt idx="2">
                  <c:v>1050</c:v>
                </c:pt>
                <c:pt idx="3">
                  <c:v>1068</c:v>
                </c:pt>
                <c:pt idx="4">
                  <c:v>1028</c:v>
                </c:pt>
                <c:pt idx="5">
                  <c:v>1020</c:v>
                </c:pt>
                <c:pt idx="6">
                  <c:v>1052</c:v>
                </c:pt>
                <c:pt idx="7">
                  <c:v>1016</c:v>
                </c:pt>
                <c:pt idx="8">
                  <c:v>1024</c:v>
                </c:pt>
                <c:pt idx="9">
                  <c:v>1067</c:v>
                </c:pt>
                <c:pt idx="10">
                  <c:v>1021</c:v>
                </c:pt>
                <c:pt idx="11">
                  <c:v>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A0-4AE9-84DA-4547FC8F91B3}"/>
            </c:ext>
          </c:extLst>
        </c:ser>
        <c:ser>
          <c:idx val="1"/>
          <c:order val="1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Veriler!$E$19:$P$19</c:f>
              <c:numCache>
                <c:formatCode>General</c:formatCode>
                <c:ptCount val="12"/>
                <c:pt idx="0">
                  <c:v>1060</c:v>
                </c:pt>
                <c:pt idx="1">
                  <c:v>991</c:v>
                </c:pt>
                <c:pt idx="2">
                  <c:v>1050</c:v>
                </c:pt>
                <c:pt idx="3">
                  <c:v>1068</c:v>
                </c:pt>
                <c:pt idx="4">
                  <c:v>1028</c:v>
                </c:pt>
                <c:pt idx="5">
                  <c:v>1020</c:v>
                </c:pt>
                <c:pt idx="6">
                  <c:v>1052</c:v>
                </c:pt>
                <c:pt idx="7">
                  <c:v>1016</c:v>
                </c:pt>
                <c:pt idx="8">
                  <c:v>1024</c:v>
                </c:pt>
                <c:pt idx="9">
                  <c:v>1067</c:v>
                </c:pt>
                <c:pt idx="10">
                  <c:v>1021</c:v>
                </c:pt>
                <c:pt idx="11">
                  <c:v>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0-4AE9-84DA-4547FC8F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Veriler!$E$20:$P$20</c:f>
              <c:numCache>
                <c:formatCode>0</c:formatCode>
                <c:ptCount val="12"/>
                <c:pt idx="0">
                  <c:v>884</c:v>
                </c:pt>
                <c:pt idx="1">
                  <c:v>867</c:v>
                </c:pt>
                <c:pt idx="2">
                  <c:v>904</c:v>
                </c:pt>
                <c:pt idx="3">
                  <c:v>1200</c:v>
                </c:pt>
                <c:pt idx="4">
                  <c:v>977</c:v>
                </c:pt>
                <c:pt idx="5">
                  <c:v>888</c:v>
                </c:pt>
                <c:pt idx="6">
                  <c:v>901</c:v>
                </c:pt>
                <c:pt idx="7">
                  <c:v>970</c:v>
                </c:pt>
                <c:pt idx="8">
                  <c:v>830</c:v>
                </c:pt>
                <c:pt idx="9">
                  <c:v>913</c:v>
                </c:pt>
                <c:pt idx="10">
                  <c:v>802</c:v>
                </c:pt>
                <c:pt idx="11">
                  <c:v>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9-4FF5-9149-B053CFEE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Veriler!$E$13:$P$13</c:f>
              <c:numCache>
                <c:formatCode>0</c:formatCode>
                <c:ptCount val="12"/>
                <c:pt idx="0">
                  <c:v>700</c:v>
                </c:pt>
                <c:pt idx="1">
                  <c:v>741</c:v>
                </c:pt>
                <c:pt idx="2">
                  <c:v>298</c:v>
                </c:pt>
                <c:pt idx="3">
                  <c:v>1349</c:v>
                </c:pt>
                <c:pt idx="4">
                  <c:v>820</c:v>
                </c:pt>
                <c:pt idx="5">
                  <c:v>1457</c:v>
                </c:pt>
                <c:pt idx="6">
                  <c:v>1081</c:v>
                </c:pt>
                <c:pt idx="7">
                  <c:v>125</c:v>
                </c:pt>
                <c:pt idx="8">
                  <c:v>1025</c:v>
                </c:pt>
                <c:pt idx="9">
                  <c:v>1464</c:v>
                </c:pt>
                <c:pt idx="10">
                  <c:v>1132</c:v>
                </c:pt>
                <c:pt idx="11">
                  <c:v>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F-4F16-9ACC-69677CAC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Veriler!$E$16:$P$16</c:f>
              <c:numCache>
                <c:formatCode>General</c:formatCode>
                <c:ptCount val="12"/>
                <c:pt idx="0">
                  <c:v>4385</c:v>
                </c:pt>
                <c:pt idx="1">
                  <c:v>4167</c:v>
                </c:pt>
                <c:pt idx="2">
                  <c:v>4711</c:v>
                </c:pt>
                <c:pt idx="3">
                  <c:v>4482</c:v>
                </c:pt>
                <c:pt idx="4">
                  <c:v>4299</c:v>
                </c:pt>
                <c:pt idx="5">
                  <c:v>4999</c:v>
                </c:pt>
                <c:pt idx="6">
                  <c:v>4889</c:v>
                </c:pt>
                <c:pt idx="7">
                  <c:v>4721</c:v>
                </c:pt>
                <c:pt idx="8">
                  <c:v>4321</c:v>
                </c:pt>
                <c:pt idx="9">
                  <c:v>4927</c:v>
                </c:pt>
                <c:pt idx="10">
                  <c:v>4288</c:v>
                </c:pt>
                <c:pt idx="11">
                  <c:v>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9-43F1-ACB0-CBCF39F97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Veriler!$E$17:$P$17</c:f>
              <c:numCache>
                <c:formatCode>0.00</c:formatCode>
                <c:ptCount val="12"/>
                <c:pt idx="0">
                  <c:v>1.33</c:v>
                </c:pt>
                <c:pt idx="1">
                  <c:v>1.47</c:v>
                </c:pt>
                <c:pt idx="2">
                  <c:v>1.89</c:v>
                </c:pt>
                <c:pt idx="3">
                  <c:v>2.11</c:v>
                </c:pt>
                <c:pt idx="4">
                  <c:v>1.94</c:v>
                </c:pt>
                <c:pt idx="5">
                  <c:v>1.68</c:v>
                </c:pt>
                <c:pt idx="6">
                  <c:v>1.45</c:v>
                </c:pt>
                <c:pt idx="7">
                  <c:v>1.22</c:v>
                </c:pt>
                <c:pt idx="8">
                  <c:v>1.1100000000000001</c:v>
                </c:pt>
                <c:pt idx="9">
                  <c:v>1.55</c:v>
                </c:pt>
                <c:pt idx="10">
                  <c:v>1.76</c:v>
                </c:pt>
                <c:pt idx="1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8-4E1E-9A30-2108BBA6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rgbClr val="01B1A3"/>
              </a:solidFill>
              <a:round/>
            </a:ln>
            <a:effectLst/>
          </c:spPr>
          <c:marker>
            <c:symbol val="none"/>
          </c:marker>
          <c:val>
            <c:numRef>
              <c:f>Veriler!$E$18:$P$18</c:f>
              <c:numCache>
                <c:formatCode>0.00</c:formatCode>
                <c:ptCount val="12"/>
                <c:pt idx="0">
                  <c:v>4.1100000000000003</c:v>
                </c:pt>
                <c:pt idx="1">
                  <c:v>3.66</c:v>
                </c:pt>
                <c:pt idx="2">
                  <c:v>4.01</c:v>
                </c:pt>
                <c:pt idx="3">
                  <c:v>4.08</c:v>
                </c:pt>
                <c:pt idx="4">
                  <c:v>4.1100000000000003</c:v>
                </c:pt>
                <c:pt idx="5">
                  <c:v>2.99</c:v>
                </c:pt>
                <c:pt idx="6">
                  <c:v>3.22</c:v>
                </c:pt>
                <c:pt idx="7">
                  <c:v>3.66</c:v>
                </c:pt>
                <c:pt idx="8">
                  <c:v>3.12</c:v>
                </c:pt>
                <c:pt idx="9">
                  <c:v>3.55</c:v>
                </c:pt>
                <c:pt idx="10">
                  <c:v>3.88</c:v>
                </c:pt>
                <c:pt idx="11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6-4937-944C-B8BF3875F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825952"/>
        <c:axId val="230824312"/>
      </c:lineChart>
      <c:catAx>
        <c:axId val="2308259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824312"/>
        <c:crosses val="autoZero"/>
        <c:auto val="1"/>
        <c:lblAlgn val="ctr"/>
        <c:lblOffset val="100"/>
        <c:noMultiLvlLbl val="0"/>
      </c:catAx>
      <c:valAx>
        <c:axId val="2308243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30825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4.8859274098778972E-2"/>
          <c:y val="5.505631350491566E-2"/>
          <c:w val="0.95114072590122101"/>
          <c:h val="0.94494368649508431"/>
        </c:manualLayout>
      </c:layout>
      <c:barChart>
        <c:barDir val="col"/>
        <c:grouping val="clustered"/>
        <c:varyColors val="0"/>
        <c:ser>
          <c:idx val="0"/>
          <c:order val="0"/>
          <c:tx>
            <c:v>Start - End</c:v>
          </c:tx>
          <c:spPr>
            <a:solidFill>
              <a:srgbClr val="435361"/>
            </a:solidFill>
            <a:ln>
              <a:solidFill>
                <a:srgbClr val="80808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Statement!$C$4:$C$10</c:f>
              <c:strCache>
                <c:ptCount val="7"/>
                <c:pt idx="0">
                  <c:v>Toplam Gelir</c:v>
                </c:pt>
                <c:pt idx="1">
                  <c:v>Satılan Malların Maliyeti</c:v>
                </c:pt>
                <c:pt idx="2">
                  <c:v>Brüt Kar</c:v>
                </c:pt>
                <c:pt idx="3">
                  <c:v>Toplam Faaliyet Giderleri  </c:v>
                </c:pt>
                <c:pt idx="4">
                  <c:v>Faaliyet Karı (EBIT)</c:v>
                </c:pt>
                <c:pt idx="5">
                  <c:v>Vergiler</c:v>
                </c:pt>
                <c:pt idx="6">
                  <c:v>Net Kâr   </c:v>
                </c:pt>
              </c:strCache>
            </c:strRef>
          </c:cat>
          <c:val>
            <c:numRef>
              <c:f>ChartsDataSheet!$BYG$2:$BYG$8</c:f>
              <c:numCache>
                <c:formatCode>General</c:formatCode>
                <c:ptCount val="7"/>
                <c:pt idx="0">
                  <c:v>5100</c:v>
                </c:pt>
                <c:pt idx="6">
                  <c:v>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0-4777-81AC-82A9B7B9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54485696"/>
        <c:axId val="454486352"/>
      </c:barChart>
      <c:lineChart>
        <c:grouping val="standard"/>
        <c:varyColors val="0"/>
        <c:ser>
          <c:idx val="1"/>
          <c:order val="1"/>
          <c:tx>
            <c:v>Before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val>
            <c:numRef>
              <c:f>ChartsDataSheet!$BYH$2:$BYH$8</c:f>
              <c:numCache>
                <c:formatCode>General</c:formatCode>
                <c:ptCount val="7"/>
                <c:pt idx="1">
                  <c:v>5100</c:v>
                </c:pt>
                <c:pt idx="2">
                  <c:v>3848</c:v>
                </c:pt>
                <c:pt idx="3">
                  <c:v>7696</c:v>
                </c:pt>
                <c:pt idx="4">
                  <c:v>5974</c:v>
                </c:pt>
                <c:pt idx="5">
                  <c:v>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0-4777-81AC-82A9B7B98304}"/>
            </c:ext>
          </c:extLst>
        </c:ser>
        <c:ser>
          <c:idx val="2"/>
          <c:order val="2"/>
          <c:tx>
            <c:v>After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val>
            <c:numRef>
              <c:f>ChartsDataSheet!$BYI$2:$BYI$8</c:f>
              <c:numCache>
                <c:formatCode>General</c:formatCode>
                <c:ptCount val="7"/>
                <c:pt idx="1">
                  <c:v>3848</c:v>
                </c:pt>
                <c:pt idx="2">
                  <c:v>7696</c:v>
                </c:pt>
                <c:pt idx="3">
                  <c:v>5974</c:v>
                </c:pt>
                <c:pt idx="4">
                  <c:v>8100</c:v>
                </c:pt>
                <c:pt idx="5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E0-4777-81AC-82A9B7B9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rgbClr val="01B1A3"/>
              </a:solidFill>
              <a:ln w="9525" cap="flat" cmpd="sng" algn="ctr">
                <a:solidFill>
                  <a:srgbClr val="808080"/>
                </a:solidFill>
                <a:prstDash val="solid"/>
                <a:round/>
              </a:ln>
              <a:effectLst/>
            </c:spPr>
          </c:upBars>
          <c:downBars>
            <c:spPr>
              <a:solidFill>
                <a:srgbClr val="FB5A56"/>
              </a:solidFill>
              <a:ln w="9525" cap="flat" cmpd="sng" algn="ctr">
                <a:solidFill>
                  <a:srgbClr val="808080"/>
                </a:solidFill>
                <a:prstDash val="solid"/>
                <a:round/>
              </a:ln>
              <a:effectLst/>
            </c:spPr>
          </c:downBars>
        </c:upDownBars>
        <c:marker val="1"/>
        <c:smooth val="0"/>
        <c:axId val="454485696"/>
        <c:axId val="454486352"/>
      </c:lineChart>
      <c:scatterChart>
        <c:scatterStyle val="lineMarker"/>
        <c:varyColors val="0"/>
        <c:ser>
          <c:idx val="3"/>
          <c:order val="3"/>
          <c:tx>
            <c:v>Data label position</c:v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FE0-4777-81AC-82A9B7B983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D67E88-4D8B-4063-A2C8-0FC831B2AB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FE0-4777-81AC-82A9B7B983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1265D1-ABDC-4179-9421-D555FAB04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FE0-4777-81AC-82A9B7B983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DCD1F7-E6B7-4C8A-BF70-B6D6C2DDA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FE0-4777-81AC-82A9B7B983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3EB2B6-E599-4677-849C-869C5C012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FE0-4777-81AC-82A9B7B983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655FC4-1082-4F5B-93BF-32F8A0EFF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FE0-4777-81AC-82A9B7B983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FE0-4777-81AC-82A9B7B983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yVal>
            <c:numRef>
              <c:f>ChartsDataSheet!$BYJ$2:$BYJ$8</c:f>
              <c:numCache>
                <c:formatCode>General</c:formatCode>
                <c:ptCount val="7"/>
                <c:pt idx="1">
                  <c:v>5100</c:v>
                </c:pt>
                <c:pt idx="2">
                  <c:v>7696</c:v>
                </c:pt>
                <c:pt idx="3">
                  <c:v>7696</c:v>
                </c:pt>
                <c:pt idx="4">
                  <c:v>8100</c:v>
                </c:pt>
                <c:pt idx="5">
                  <c:v>8100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ChartsDataSheet!$BYE$2:$BYE$8</c15:f>
                <c15:dlblRangeCache>
                  <c:ptCount val="7"/>
                  <c:pt idx="0">
                    <c:v>+5.100</c:v>
                  </c:pt>
                  <c:pt idx="1">
                    <c:v>-1.252</c:v>
                  </c:pt>
                  <c:pt idx="2">
                    <c:v>+3.848</c:v>
                  </c:pt>
                  <c:pt idx="3">
                    <c:v>-1.722</c:v>
                  </c:pt>
                  <c:pt idx="4">
                    <c:v>+2.126</c:v>
                  </c:pt>
                  <c:pt idx="5">
                    <c:v>-777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FE0-4777-81AC-82A9B7B98304}"/>
            </c:ext>
          </c:extLst>
        </c:ser>
        <c:ser>
          <c:idx val="4"/>
          <c:order val="4"/>
          <c:tx>
            <c:v>Cumulative</c:v>
          </c:tx>
          <c:spPr>
            <a:ln w="28575">
              <a:noFill/>
            </a:ln>
          </c:spPr>
          <c:marker>
            <c:symbol val="none"/>
          </c:marker>
          <c:yVal>
            <c:numRef>
              <c:f>ChartsDataSheet!$BYF$2:$BYF$8</c:f>
              <c:numCache>
                <c:formatCode>General</c:formatCode>
                <c:ptCount val="7"/>
                <c:pt idx="0">
                  <c:v>5100</c:v>
                </c:pt>
                <c:pt idx="1">
                  <c:v>3848</c:v>
                </c:pt>
                <c:pt idx="2">
                  <c:v>7696</c:v>
                </c:pt>
                <c:pt idx="3">
                  <c:v>5974</c:v>
                </c:pt>
                <c:pt idx="4">
                  <c:v>8100</c:v>
                </c:pt>
                <c:pt idx="5">
                  <c:v>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E0-4777-81AC-82A9B7B9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85696"/>
        <c:axId val="454486352"/>
      </c:scatterChart>
      <c:catAx>
        <c:axId val="4544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54486352"/>
        <c:crosses val="autoZero"/>
        <c:auto val="1"/>
        <c:lblAlgn val="ctr"/>
        <c:lblOffset val="0"/>
        <c:noMultiLvlLbl val="0"/>
      </c:catAx>
      <c:valAx>
        <c:axId val="454486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544856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1-26CE-4EDE-AA03-8E150DF7F12B}"/>
              </c:ext>
            </c:extLst>
          </c:dPt>
          <c:dPt>
            <c:idx val="1"/>
            <c:bubble3D val="0"/>
            <c:spPr>
              <a:solidFill>
                <a:srgbClr val="435361"/>
              </a:solidFill>
            </c:spPr>
            <c:extLst>
              <c:ext xmlns:c16="http://schemas.microsoft.com/office/drawing/2014/chart" uri="{C3380CC4-5D6E-409C-BE32-E72D297353CC}">
                <c16:uniqueId val="{00000003-26CE-4EDE-AA03-8E150DF7F12B}"/>
              </c:ext>
            </c:extLst>
          </c:dPt>
          <c:val>
            <c:numRef>
              <c:f>calc!$C$42:$C$43</c:f>
              <c:numCache>
                <c:formatCode>0%</c:formatCode>
                <c:ptCount val="2"/>
                <c:pt idx="0">
                  <c:v>0.98076923076923073</c:v>
                </c:pt>
                <c:pt idx="1">
                  <c:v>1.9230769230769273E-2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CE-4EDE-AA03-8E150DF7F12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01B1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6CE-4EDE-AA03-8E150DF7F12B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6CE-4EDE-AA03-8E150DF7F12B}"/>
              </c:ext>
            </c:extLst>
          </c:dPt>
          <c:val>
            <c:numRef>
              <c:f>calc!$C$42:$C$43</c:f>
              <c:numCache>
                <c:formatCode>0%</c:formatCode>
                <c:ptCount val="2"/>
                <c:pt idx="0">
                  <c:v>0.98076923076923073</c:v>
                </c:pt>
                <c:pt idx="1">
                  <c:v>1.9230769230769273E-2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CE-4EDE-AA03-8E150DF7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dPt>
            <c:idx val="0"/>
            <c:bubble3D val="0"/>
            <c:spPr>
              <a:solidFill>
                <a:srgbClr val="01B1A3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E6E5-4E55-B898-83A00D3E190C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C0504D"/>
                    </a:solidFill>
                  </a14:hiddenFill>
                </a:ex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E6E5-4E55-B898-83A00D3E190C}"/>
              </c:ext>
            </c:extLst>
          </c:dPt>
          <c:val>
            <c:numRef>
              <c:f>ChartsDataSheet!$CJU$3:$CJV$3</c:f>
              <c:numCache>
                <c:formatCode>General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5-4E55-B898-83A00D3E190C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dPt>
            <c:idx val="0"/>
            <c:bubble3D val="0"/>
            <c:spPr>
              <a:solidFill>
                <a:srgbClr val="FB5A5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6-E6E5-4E55-B898-83A00D3E190C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C0504D"/>
                    </a:solidFill>
                  </a14:hiddenFill>
                </a:ex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8-E6E5-4E55-B898-83A00D3E190C}"/>
              </c:ext>
            </c:extLst>
          </c:dPt>
          <c:val>
            <c:numRef>
              <c:f>ChartsDataSheet!$CJY$3:$CJZ$3</c:f>
              <c:numCache>
                <c:formatCode>General</c:formatCode>
                <c:ptCount val="2"/>
                <c:pt idx="0">
                  <c:v>0.39696071163825059</c:v>
                </c:pt>
                <c:pt idx="1">
                  <c:v>0.60303928836174947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E5-4E55-B898-83A00D3E1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2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2705644053027623E-2"/>
          <c:y val="3.6656487516065095E-2"/>
          <c:w val="0.96729435594697233"/>
          <c:h val="0.96334351248393491"/>
        </c:manualLayout>
      </c:layout>
      <c:barChart>
        <c:barDir val="col"/>
        <c:grouping val="clustered"/>
        <c:varyColors val="0"/>
        <c:ser>
          <c:idx val="0"/>
          <c:order val="0"/>
          <c:tx>
            <c:v>Plan</c:v>
          </c:tx>
          <c:spPr>
            <a:solidFill>
              <a:srgbClr val="BFBFBF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043-499D-8D40-8B87C760121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043-499D-8D40-8B87C760121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043-499D-8D40-8B87C760121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3043-499D-8D40-8B87C760121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3043-499D-8D40-8B87C7601217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3043-499D-8D40-8B87C760121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3043-499D-8D40-8B87C760121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3043-499D-8D40-8B87C760121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3043-499D-8D40-8B87C760121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3043-499D-8D40-8B87C7601217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3043-499D-8D40-8B87C7601217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3043-499D-8D40-8B87C760121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ChartsDataSheet!$BUH$92:$BUS$92</c:f>
              <c:numCache>
                <c:formatCode>General</c:formatCode>
                <c:ptCount val="12"/>
              </c:numCache>
            </c:numRef>
          </c:cat>
          <c:val>
            <c:numRef>
              <c:f>ChartsDataSheet!$BUH$93:$BUS$93</c:f>
              <c:numCache>
                <c:formatCode>General</c:formatCode>
                <c:ptCount val="12"/>
                <c:pt idx="0">
                  <c:v>4501</c:v>
                </c:pt>
                <c:pt idx="1">
                  <c:v>4800</c:v>
                </c:pt>
                <c:pt idx="2">
                  <c:v>4300</c:v>
                </c:pt>
                <c:pt idx="3">
                  <c:v>5100</c:v>
                </c:pt>
                <c:pt idx="4">
                  <c:v>4800</c:v>
                </c:pt>
                <c:pt idx="5">
                  <c:v>5200</c:v>
                </c:pt>
                <c:pt idx="6">
                  <c:v>5100</c:v>
                </c:pt>
                <c:pt idx="7">
                  <c:v>4100</c:v>
                </c:pt>
                <c:pt idx="8">
                  <c:v>5200</c:v>
                </c:pt>
                <c:pt idx="9">
                  <c:v>5184</c:v>
                </c:pt>
                <c:pt idx="10">
                  <c:v>4800</c:v>
                </c:pt>
                <c:pt idx="11">
                  <c:v>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43-499D-8D40-8B87C7601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339376"/>
        <c:axId val="507339048"/>
      </c:barChart>
      <c:scatterChart>
        <c:scatterStyle val="lineMarker"/>
        <c:varyColors val="0"/>
        <c:ser>
          <c:idx val="1"/>
          <c:order val="1"/>
          <c:tx>
            <c:v>Zero line</c:v>
          </c:tx>
          <c:spPr>
            <a:ln w="63500" cmpd="sng">
              <a:solidFill>
                <a:srgbClr val="808080"/>
              </a:solidFill>
            </a:ln>
          </c:spPr>
          <c:marker>
            <c:symbol val="none"/>
          </c:marker>
          <c:xVal>
            <c:numRef>
              <c:f>ChartsDataSheet!$BUH$115:$BUS$115</c:f>
              <c:numCache>
                <c:formatCode>General</c:formatCode>
                <c:ptCount val="12"/>
                <c:pt idx="0">
                  <c:v>0.77</c:v>
                </c:pt>
                <c:pt idx="1">
                  <c:v>2.2200000000000002</c:v>
                </c:pt>
                <c:pt idx="2">
                  <c:v>3.22</c:v>
                </c:pt>
                <c:pt idx="3">
                  <c:v>4.22</c:v>
                </c:pt>
                <c:pt idx="4">
                  <c:v>5.22</c:v>
                </c:pt>
                <c:pt idx="5">
                  <c:v>6.22</c:v>
                </c:pt>
                <c:pt idx="6">
                  <c:v>7.22</c:v>
                </c:pt>
                <c:pt idx="7">
                  <c:v>8.2200000000000006</c:v>
                </c:pt>
                <c:pt idx="8">
                  <c:v>9.2200000000000006</c:v>
                </c:pt>
                <c:pt idx="9">
                  <c:v>10.220000000000001</c:v>
                </c:pt>
                <c:pt idx="10">
                  <c:v>11.22</c:v>
                </c:pt>
                <c:pt idx="11">
                  <c:v>12.22</c:v>
                </c:pt>
              </c:numCache>
            </c:numRef>
          </c:xVal>
          <c:yVal>
            <c:numRef>
              <c:f>ChartsDataSheet!$BUH$116:$BUS$116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043-499D-8D40-8B87C7601217}"/>
            </c:ext>
          </c:extLst>
        </c:ser>
        <c:ser>
          <c:idx val="2"/>
          <c:order val="2"/>
          <c:tx>
            <c:strRef>
              <c:f>ChartsDataSheet!$BUH$109</c:f>
              <c:strCache>
                <c:ptCount val="1"/>
                <c:pt idx="0">
                  <c:v>Actual 1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ChartsDataSheet!$BUH$110:$BUH$111</c:f>
              <c:numCache>
                <c:formatCode>General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ChartsDataSheet!$BUH$112:$BUH$113</c:f>
              <c:numCache>
                <c:formatCode>General</c:formatCode>
                <c:ptCount val="2"/>
                <c:pt idx="0">
                  <c:v>0</c:v>
                </c:pt>
                <c:pt idx="1">
                  <c:v>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043-499D-8D40-8B87C7601217}"/>
            </c:ext>
          </c:extLst>
        </c:ser>
        <c:ser>
          <c:idx val="3"/>
          <c:order val="3"/>
          <c:tx>
            <c:strRef>
              <c:f>ChartsDataSheet!$BUI$109</c:f>
              <c:strCache>
                <c:ptCount val="1"/>
                <c:pt idx="0">
                  <c:v>Actual 2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ChartsDataSheet!$BUI$110:$BUI$111</c:f>
              <c:numCache>
                <c:formatCode>General</c:formatCode>
                <c:ptCount val="2"/>
                <c:pt idx="0">
                  <c:v>1.75</c:v>
                </c:pt>
                <c:pt idx="1">
                  <c:v>1.75</c:v>
                </c:pt>
              </c:numCache>
            </c:numRef>
          </c:xVal>
          <c:yVal>
            <c:numRef>
              <c:f>ChartsDataSheet!$BUI$112:$BUI$113</c:f>
              <c:numCache>
                <c:formatCode>General</c:formatCode>
                <c:ptCount val="2"/>
                <c:pt idx="0">
                  <c:v>0</c:v>
                </c:pt>
                <c:pt idx="1">
                  <c:v>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043-499D-8D40-8B87C7601217}"/>
            </c:ext>
          </c:extLst>
        </c:ser>
        <c:ser>
          <c:idx val="4"/>
          <c:order val="4"/>
          <c:tx>
            <c:strRef>
              <c:f>ChartsDataSheet!$BUJ$109</c:f>
              <c:strCache>
                <c:ptCount val="1"/>
                <c:pt idx="0">
                  <c:v>Actual 3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ChartsDataSheet!$BUJ$110:$BUJ$111</c:f>
              <c:numCache>
                <c:formatCode>General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xVal>
          <c:yVal>
            <c:numRef>
              <c:f>ChartsDataSheet!$BUJ$112:$BUJ$113</c:f>
              <c:numCache>
                <c:formatCode>General</c:formatCode>
                <c:ptCount val="2"/>
                <c:pt idx="0">
                  <c:v>0</c:v>
                </c:pt>
                <c:pt idx="1">
                  <c:v>3040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043-499D-8D40-8B87C7601217}"/>
            </c:ext>
          </c:extLst>
        </c:ser>
        <c:ser>
          <c:idx val="5"/>
          <c:order val="5"/>
          <c:tx>
            <c:strRef>
              <c:f>ChartsDataSheet!$BUK$109</c:f>
              <c:strCache>
                <c:ptCount val="1"/>
                <c:pt idx="0">
                  <c:v>Actual 4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ChartsDataSheet!$BUK$110:$BUK$111</c:f>
              <c:numCache>
                <c:formatCode>General</c:formatCode>
                <c:ptCount val="2"/>
                <c:pt idx="0">
                  <c:v>3.75</c:v>
                </c:pt>
                <c:pt idx="1">
                  <c:v>3.75</c:v>
                </c:pt>
              </c:numCache>
            </c:numRef>
          </c:xVal>
          <c:yVal>
            <c:numRef>
              <c:f>ChartsDataSheet!$BUK$112:$BUK$113</c:f>
              <c:numCache>
                <c:formatCode>General</c:formatCode>
                <c:ptCount val="2"/>
                <c:pt idx="0">
                  <c:v>0</c:v>
                </c:pt>
                <c:pt idx="1">
                  <c:v>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043-499D-8D40-8B87C7601217}"/>
            </c:ext>
          </c:extLst>
        </c:ser>
        <c:ser>
          <c:idx val="6"/>
          <c:order val="6"/>
          <c:tx>
            <c:strRef>
              <c:f>ChartsDataSheet!$BUL$109</c:f>
              <c:strCache>
                <c:ptCount val="1"/>
                <c:pt idx="0">
                  <c:v>Actual 5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ChartsDataSheet!$BUL$110:$BUL$111</c:f>
              <c:numCache>
                <c:formatCode>General</c:formatCode>
                <c:ptCount val="2"/>
                <c:pt idx="0">
                  <c:v>4.75</c:v>
                </c:pt>
                <c:pt idx="1">
                  <c:v>4.75</c:v>
                </c:pt>
              </c:numCache>
            </c:numRef>
          </c:xVal>
          <c:yVal>
            <c:numRef>
              <c:f>ChartsDataSheet!$BUL$112:$BUL$113</c:f>
              <c:numCache>
                <c:formatCode>General</c:formatCode>
                <c:ptCount val="2"/>
                <c:pt idx="0">
                  <c:v>0</c:v>
                </c:pt>
                <c:pt idx="1">
                  <c:v>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043-499D-8D40-8B87C7601217}"/>
            </c:ext>
          </c:extLst>
        </c:ser>
        <c:ser>
          <c:idx val="7"/>
          <c:order val="7"/>
          <c:tx>
            <c:strRef>
              <c:f>ChartsDataSheet!$BUM$109</c:f>
              <c:strCache>
                <c:ptCount val="1"/>
                <c:pt idx="0">
                  <c:v>Actual 6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ChartsDataSheet!$BUM$110:$BUM$111</c:f>
              <c:numCache>
                <c:formatCode>General</c:formatCode>
                <c:ptCount val="2"/>
                <c:pt idx="0">
                  <c:v>5.75</c:v>
                </c:pt>
                <c:pt idx="1">
                  <c:v>5.75</c:v>
                </c:pt>
              </c:numCache>
            </c:numRef>
          </c:xVal>
          <c:yVal>
            <c:numRef>
              <c:f>ChartsDataSheet!$BUM$112:$BUM$113</c:f>
              <c:numCache>
                <c:formatCode>General</c:formatCode>
                <c:ptCount val="2"/>
                <c:pt idx="0">
                  <c:v>0</c:v>
                </c:pt>
                <c:pt idx="1">
                  <c:v>2993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043-499D-8D40-8B87C7601217}"/>
            </c:ext>
          </c:extLst>
        </c:ser>
        <c:ser>
          <c:idx val="8"/>
          <c:order val="8"/>
          <c:tx>
            <c:strRef>
              <c:f>ChartsDataSheet!$BUN$109</c:f>
              <c:strCache>
                <c:ptCount val="1"/>
                <c:pt idx="0">
                  <c:v>Actual 7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ChartsDataSheet!$BUN$110:$BUN$111</c:f>
              <c:numCache>
                <c:formatCode>General</c:formatCode>
                <c:ptCount val="2"/>
                <c:pt idx="0">
                  <c:v>6.75</c:v>
                </c:pt>
                <c:pt idx="1">
                  <c:v>6.75</c:v>
                </c:pt>
              </c:numCache>
            </c:numRef>
          </c:xVal>
          <c:yVal>
            <c:numRef>
              <c:f>ChartsDataSheet!$BUN$112:$BUN$113</c:f>
              <c:numCache>
                <c:formatCode>General</c:formatCode>
                <c:ptCount val="2"/>
                <c:pt idx="0">
                  <c:v>0</c:v>
                </c:pt>
                <c:pt idx="1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043-499D-8D40-8B87C7601217}"/>
            </c:ext>
          </c:extLst>
        </c:ser>
        <c:ser>
          <c:idx val="9"/>
          <c:order val="9"/>
          <c:tx>
            <c:strRef>
              <c:f>ChartsDataSheet!$BUO$109</c:f>
              <c:strCache>
                <c:ptCount val="1"/>
                <c:pt idx="0">
                  <c:v>Actual 8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ChartsDataSheet!$BUO$110:$BUO$111</c:f>
              <c:numCache>
                <c:formatCode>General</c:formatCode>
                <c:ptCount val="2"/>
                <c:pt idx="0">
                  <c:v>7.75</c:v>
                </c:pt>
                <c:pt idx="1">
                  <c:v>7.75</c:v>
                </c:pt>
              </c:numCache>
            </c:numRef>
          </c:xVal>
          <c:yVal>
            <c:numRef>
              <c:f>ChartsDataSheet!$BUO$112:$BUO$113</c:f>
              <c:numCache>
                <c:formatCode>General</c:formatCode>
                <c:ptCount val="2"/>
                <c:pt idx="0">
                  <c:v>0</c:v>
                </c:pt>
                <c:pt idx="1">
                  <c:v>3087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043-499D-8D40-8B87C7601217}"/>
            </c:ext>
          </c:extLst>
        </c:ser>
        <c:ser>
          <c:idx val="10"/>
          <c:order val="10"/>
          <c:tx>
            <c:strRef>
              <c:f>ChartsDataSheet!$BUP$109</c:f>
              <c:strCache>
                <c:ptCount val="1"/>
                <c:pt idx="0">
                  <c:v>Actual 9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ChartsDataSheet!$BUP$110:$BUP$111</c:f>
              <c:numCache>
                <c:formatCode>General</c:formatCode>
                <c:ptCount val="2"/>
                <c:pt idx="0">
                  <c:v>8.75</c:v>
                </c:pt>
                <c:pt idx="1">
                  <c:v>8.75</c:v>
                </c:pt>
              </c:numCache>
            </c:numRef>
          </c:xVal>
          <c:yVal>
            <c:numRef>
              <c:f>ChartsDataSheet!$BUP$112:$BUP$113</c:f>
              <c:numCache>
                <c:formatCode>General</c:formatCode>
                <c:ptCount val="2"/>
                <c:pt idx="0">
                  <c:v>0</c:v>
                </c:pt>
                <c:pt idx="1">
                  <c:v>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043-499D-8D40-8B87C7601217}"/>
            </c:ext>
          </c:extLst>
        </c:ser>
        <c:ser>
          <c:idx val="11"/>
          <c:order val="11"/>
          <c:tx>
            <c:strRef>
              <c:f>ChartsDataSheet!$BUQ$109</c:f>
              <c:strCache>
                <c:ptCount val="1"/>
                <c:pt idx="0">
                  <c:v>Actual 10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ChartsDataSheet!$BUQ$110:$BUQ$111</c:f>
              <c:numCache>
                <c:formatCode>General</c:formatCode>
                <c:ptCount val="2"/>
                <c:pt idx="0">
                  <c:v>9.75</c:v>
                </c:pt>
                <c:pt idx="1">
                  <c:v>9.75</c:v>
                </c:pt>
              </c:numCache>
            </c:numRef>
          </c:xVal>
          <c:yVal>
            <c:numRef>
              <c:f>ChartsDataSheet!$BUQ$112:$BUQ$113</c:f>
              <c:numCache>
                <c:formatCode>General</c:formatCode>
                <c:ptCount val="2"/>
                <c:pt idx="0">
                  <c:v>0</c:v>
                </c:pt>
                <c:pt idx="1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043-499D-8D40-8B87C7601217}"/>
            </c:ext>
          </c:extLst>
        </c:ser>
        <c:ser>
          <c:idx val="12"/>
          <c:order val="12"/>
          <c:tx>
            <c:strRef>
              <c:f>ChartsDataSheet!$BUR$109</c:f>
              <c:strCache>
                <c:ptCount val="1"/>
                <c:pt idx="0">
                  <c:v>Actual 11</c:v>
                </c:pt>
              </c:strCache>
            </c:strRef>
          </c:tx>
          <c:spPr>
            <a:ln w="25400" cmpd="sng">
              <a:solidFill>
                <a:srgbClr val="01B1A3"/>
              </a:solidFill>
              <a:headEnd w="lg" len="lg"/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ChartsDataSheet!$BUR$110:$BUR$111</c:f>
              <c:numCache>
                <c:formatCode>General</c:formatCode>
                <c:ptCount val="2"/>
                <c:pt idx="0">
                  <c:v>10.75</c:v>
                </c:pt>
                <c:pt idx="1">
                  <c:v>10.75</c:v>
                </c:pt>
              </c:numCache>
            </c:numRef>
          </c:xVal>
          <c:yVal>
            <c:numRef>
              <c:f>ChartsDataSheet!$BUR$112:$BUR$113</c:f>
              <c:numCache>
                <c:formatCode>General</c:formatCode>
                <c:ptCount val="2"/>
                <c:pt idx="0">
                  <c:v>0</c:v>
                </c:pt>
                <c:pt idx="1">
                  <c:v>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043-499D-8D40-8B87C7601217}"/>
            </c:ext>
          </c:extLst>
        </c:ser>
        <c:ser>
          <c:idx val="13"/>
          <c:order val="13"/>
          <c:tx>
            <c:strRef>
              <c:f>ChartsDataSheet!$BUS$109</c:f>
              <c:strCache>
                <c:ptCount val="1"/>
                <c:pt idx="0">
                  <c:v>Actual 12</c:v>
                </c:pt>
              </c:strCache>
            </c:strRef>
          </c:tx>
          <c:spPr>
            <a:ln w="254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ChartsDataSheet!$BUS$110:$BUS$111</c:f>
              <c:numCache>
                <c:formatCode>General</c:formatCode>
                <c:ptCount val="2"/>
                <c:pt idx="0">
                  <c:v>11.75</c:v>
                </c:pt>
                <c:pt idx="1">
                  <c:v>11.75</c:v>
                </c:pt>
              </c:numCache>
            </c:numRef>
          </c:xVal>
          <c:yVal>
            <c:numRef>
              <c:f>ChartsDataSheet!$BUS$112:$BUS$113</c:f>
              <c:numCache>
                <c:formatCode>General</c:formatCode>
                <c:ptCount val="2"/>
                <c:pt idx="0">
                  <c:v>0</c:v>
                </c:pt>
                <c:pt idx="1">
                  <c:v>2668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043-499D-8D40-8B87C7601217}"/>
            </c:ext>
          </c:extLst>
        </c:ser>
        <c:ser>
          <c:idx val="14"/>
          <c:order val="14"/>
          <c:tx>
            <c:strRef>
              <c:f>ChartsDataSheet!$BUH$97</c:f>
              <c:strCache>
                <c:ptCount val="1"/>
                <c:pt idx="0">
                  <c:v>Green 1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ChartsDataSheet!$BUH$98:$BUH$99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ChartsDataSheet!$BUH$100:$BUH$101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043-499D-8D40-8B87C7601217}"/>
            </c:ext>
          </c:extLst>
        </c:ser>
        <c:ser>
          <c:idx val="15"/>
          <c:order val="15"/>
          <c:tx>
            <c:strRef>
              <c:f>ChartsDataSheet!$BUI$97</c:f>
              <c:strCache>
                <c:ptCount val="1"/>
                <c:pt idx="0">
                  <c:v>Green 2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ChartsDataSheet!$BUI$98:$BUI$99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ChartsDataSheet!$BUI$100:$BUI$101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043-499D-8D40-8B87C7601217}"/>
            </c:ext>
          </c:extLst>
        </c:ser>
        <c:ser>
          <c:idx val="16"/>
          <c:order val="16"/>
          <c:tx>
            <c:strRef>
              <c:f>ChartsDataSheet!$BUJ$97</c:f>
              <c:strCache>
                <c:ptCount val="1"/>
                <c:pt idx="0">
                  <c:v>Green 3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ChartsDataSheet!$BUJ$98:$BUJ$99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ChartsDataSheet!$BUJ$100:$BUJ$101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043-499D-8D40-8B87C7601217}"/>
            </c:ext>
          </c:extLst>
        </c:ser>
        <c:ser>
          <c:idx val="17"/>
          <c:order val="17"/>
          <c:tx>
            <c:strRef>
              <c:f>ChartsDataSheet!$BUK$97</c:f>
              <c:strCache>
                <c:ptCount val="1"/>
                <c:pt idx="0">
                  <c:v>Green 4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ChartsDataSheet!$BUK$98:$BUK$99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ChartsDataSheet!$BUK$100:$BUK$101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043-499D-8D40-8B87C7601217}"/>
            </c:ext>
          </c:extLst>
        </c:ser>
        <c:ser>
          <c:idx val="18"/>
          <c:order val="18"/>
          <c:tx>
            <c:strRef>
              <c:f>ChartsDataSheet!$BUL$97</c:f>
              <c:strCache>
                <c:ptCount val="1"/>
                <c:pt idx="0">
                  <c:v>Green 5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ChartsDataSheet!$BUL$98:$BUL$99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ChartsDataSheet!$BUL$100:$BUL$101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043-499D-8D40-8B87C7601217}"/>
            </c:ext>
          </c:extLst>
        </c:ser>
        <c:ser>
          <c:idx val="19"/>
          <c:order val="19"/>
          <c:tx>
            <c:strRef>
              <c:f>ChartsDataSheet!$BUM$97</c:f>
              <c:strCache>
                <c:ptCount val="1"/>
                <c:pt idx="0">
                  <c:v>Green 6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ChartsDataSheet!$BUM$98:$BUM$99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ChartsDataSheet!$BUM$100:$BUM$101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043-499D-8D40-8B87C7601217}"/>
            </c:ext>
          </c:extLst>
        </c:ser>
        <c:ser>
          <c:idx val="20"/>
          <c:order val="20"/>
          <c:tx>
            <c:strRef>
              <c:f>ChartsDataSheet!$BUN$97</c:f>
              <c:strCache>
                <c:ptCount val="1"/>
                <c:pt idx="0">
                  <c:v>Green 7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ChartsDataSheet!$BUN$98:$BUN$99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ChartsDataSheet!$BUN$100:$BUN$101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043-499D-8D40-8B87C7601217}"/>
            </c:ext>
          </c:extLst>
        </c:ser>
        <c:ser>
          <c:idx val="21"/>
          <c:order val="21"/>
          <c:tx>
            <c:strRef>
              <c:f>ChartsDataSheet!$BUO$97</c:f>
              <c:strCache>
                <c:ptCount val="1"/>
                <c:pt idx="0">
                  <c:v>Green 8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ChartsDataSheet!$BUO$98:$BUO$99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ChartsDataSheet!$BUO$100:$BUO$101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043-499D-8D40-8B87C7601217}"/>
            </c:ext>
          </c:extLst>
        </c:ser>
        <c:ser>
          <c:idx val="22"/>
          <c:order val="22"/>
          <c:tx>
            <c:strRef>
              <c:f>ChartsDataSheet!$BUP$97</c:f>
              <c:strCache>
                <c:ptCount val="1"/>
                <c:pt idx="0">
                  <c:v>Green 9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ChartsDataSheet!$BUP$98:$BUP$99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ChartsDataSheet!$BUP$100:$BUP$101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043-499D-8D40-8B87C7601217}"/>
            </c:ext>
          </c:extLst>
        </c:ser>
        <c:ser>
          <c:idx val="23"/>
          <c:order val="23"/>
          <c:tx>
            <c:strRef>
              <c:f>ChartsDataSheet!$BUQ$97</c:f>
              <c:strCache>
                <c:ptCount val="1"/>
                <c:pt idx="0">
                  <c:v>Green 10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ChartsDataSheet!$BUQ$98:$BUQ$99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ChartsDataSheet!$BUQ$100:$BUQ$101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043-499D-8D40-8B87C7601217}"/>
            </c:ext>
          </c:extLst>
        </c:ser>
        <c:ser>
          <c:idx val="24"/>
          <c:order val="24"/>
          <c:tx>
            <c:strRef>
              <c:f>ChartsDataSheet!$BUR$97</c:f>
              <c:strCache>
                <c:ptCount val="1"/>
                <c:pt idx="0">
                  <c:v>Green 11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ChartsDataSheet!$BUR$98:$BUR$99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ChartsDataSheet!$BUR$100:$BUR$101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3043-499D-8D40-8B87C7601217}"/>
            </c:ext>
          </c:extLst>
        </c:ser>
        <c:ser>
          <c:idx val="25"/>
          <c:order val="25"/>
          <c:tx>
            <c:strRef>
              <c:f>ChartsDataSheet!$BUS$97</c:f>
              <c:strCache>
                <c:ptCount val="1"/>
                <c:pt idx="0">
                  <c:v>Green 12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ChartsDataSheet!$BUS$98:$BUS$99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ChartsDataSheet!$BUS$100:$BUS$101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3043-499D-8D40-8B87C7601217}"/>
            </c:ext>
          </c:extLst>
        </c:ser>
        <c:ser>
          <c:idx val="26"/>
          <c:order val="26"/>
          <c:tx>
            <c:strRef>
              <c:f>ChartsDataSheet!$BUH$103</c:f>
              <c:strCache>
                <c:ptCount val="1"/>
                <c:pt idx="0">
                  <c:v>Red 1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ChartsDataSheet!$BUH$104:$BUH$105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ChartsDataSheet!$BUH$106:$BUH$107</c:f>
              <c:numCache>
                <c:formatCode>General</c:formatCode>
                <c:ptCount val="2"/>
                <c:pt idx="0">
                  <c:v>4501</c:v>
                </c:pt>
                <c:pt idx="1">
                  <c:v>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3043-499D-8D40-8B87C7601217}"/>
            </c:ext>
          </c:extLst>
        </c:ser>
        <c:ser>
          <c:idx val="27"/>
          <c:order val="27"/>
          <c:tx>
            <c:strRef>
              <c:f>ChartsDataSheet!$BUI$103</c:f>
              <c:strCache>
                <c:ptCount val="1"/>
                <c:pt idx="0">
                  <c:v>Red 2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ChartsDataSheet!$BUI$104:$BUI$105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ChartsDataSheet!$BUI$106:$BUI$107</c:f>
              <c:numCache>
                <c:formatCode>General</c:formatCode>
                <c:ptCount val="2"/>
                <c:pt idx="0">
                  <c:v>4800</c:v>
                </c:pt>
                <c:pt idx="1">
                  <c:v>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3043-499D-8D40-8B87C7601217}"/>
            </c:ext>
          </c:extLst>
        </c:ser>
        <c:ser>
          <c:idx val="28"/>
          <c:order val="28"/>
          <c:tx>
            <c:strRef>
              <c:f>ChartsDataSheet!$BUJ$103</c:f>
              <c:strCache>
                <c:ptCount val="1"/>
                <c:pt idx="0">
                  <c:v>Red 3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ChartsDataSheet!$BUJ$104:$BUJ$105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ChartsDataSheet!$BUJ$106:$BUJ$107</c:f>
              <c:numCache>
                <c:formatCode>General</c:formatCode>
                <c:ptCount val="2"/>
                <c:pt idx="0">
                  <c:v>4300</c:v>
                </c:pt>
                <c:pt idx="1">
                  <c:v>3040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3043-499D-8D40-8B87C7601217}"/>
            </c:ext>
          </c:extLst>
        </c:ser>
        <c:ser>
          <c:idx val="29"/>
          <c:order val="29"/>
          <c:tx>
            <c:strRef>
              <c:f>ChartsDataSheet!$BUK$103</c:f>
              <c:strCache>
                <c:ptCount val="1"/>
                <c:pt idx="0">
                  <c:v>Red 4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ChartsDataSheet!$BUK$104:$BUK$105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ChartsDataSheet!$BUK$106:$BUK$107</c:f>
              <c:numCache>
                <c:formatCode>General</c:formatCode>
                <c:ptCount val="2"/>
                <c:pt idx="0">
                  <c:v>5100</c:v>
                </c:pt>
                <c:pt idx="1">
                  <c:v>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3043-499D-8D40-8B87C7601217}"/>
            </c:ext>
          </c:extLst>
        </c:ser>
        <c:ser>
          <c:idx val="30"/>
          <c:order val="30"/>
          <c:tx>
            <c:strRef>
              <c:f>ChartsDataSheet!$BUL$103</c:f>
              <c:strCache>
                <c:ptCount val="1"/>
                <c:pt idx="0">
                  <c:v>Red 5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ChartsDataSheet!$BUL$104:$BUL$105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ChartsDataSheet!$BUL$106:$BUL$107</c:f>
              <c:numCache>
                <c:formatCode>General</c:formatCode>
                <c:ptCount val="2"/>
                <c:pt idx="0">
                  <c:v>4800</c:v>
                </c:pt>
                <c:pt idx="1">
                  <c:v>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3043-499D-8D40-8B87C7601217}"/>
            </c:ext>
          </c:extLst>
        </c:ser>
        <c:ser>
          <c:idx val="31"/>
          <c:order val="31"/>
          <c:tx>
            <c:strRef>
              <c:f>ChartsDataSheet!$BUM$103</c:f>
              <c:strCache>
                <c:ptCount val="1"/>
                <c:pt idx="0">
                  <c:v>Red 6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ChartsDataSheet!$BUM$104:$BUM$105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ChartsDataSheet!$BUM$106:$BUM$107</c:f>
              <c:numCache>
                <c:formatCode>General</c:formatCode>
                <c:ptCount val="2"/>
                <c:pt idx="0">
                  <c:v>5200</c:v>
                </c:pt>
                <c:pt idx="1">
                  <c:v>2993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3043-499D-8D40-8B87C7601217}"/>
            </c:ext>
          </c:extLst>
        </c:ser>
        <c:ser>
          <c:idx val="32"/>
          <c:order val="32"/>
          <c:tx>
            <c:strRef>
              <c:f>ChartsDataSheet!$BUN$103</c:f>
              <c:strCache>
                <c:ptCount val="1"/>
                <c:pt idx="0">
                  <c:v>Red 7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ChartsDataSheet!$BUN$104:$BUN$105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ChartsDataSheet!$BUN$106:$BUN$107</c:f>
              <c:numCache>
                <c:formatCode>General</c:formatCode>
                <c:ptCount val="2"/>
                <c:pt idx="0">
                  <c:v>5100</c:v>
                </c:pt>
                <c:pt idx="1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3043-499D-8D40-8B87C7601217}"/>
            </c:ext>
          </c:extLst>
        </c:ser>
        <c:ser>
          <c:idx val="33"/>
          <c:order val="33"/>
          <c:tx>
            <c:strRef>
              <c:f>ChartsDataSheet!$BUO$103</c:f>
              <c:strCache>
                <c:ptCount val="1"/>
                <c:pt idx="0">
                  <c:v>Red 8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ChartsDataSheet!$BUO$104:$BUO$105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ChartsDataSheet!$BUO$106:$BUO$107</c:f>
              <c:numCache>
                <c:formatCode>General</c:formatCode>
                <c:ptCount val="2"/>
                <c:pt idx="0">
                  <c:v>4100</c:v>
                </c:pt>
                <c:pt idx="1">
                  <c:v>3087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3043-499D-8D40-8B87C7601217}"/>
            </c:ext>
          </c:extLst>
        </c:ser>
        <c:ser>
          <c:idx val="34"/>
          <c:order val="34"/>
          <c:tx>
            <c:strRef>
              <c:f>ChartsDataSheet!$BUP$103</c:f>
              <c:strCache>
                <c:ptCount val="1"/>
                <c:pt idx="0">
                  <c:v>Red 9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ChartsDataSheet!$BUP$104:$BUP$105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ChartsDataSheet!$BUP$106:$BUP$107</c:f>
              <c:numCache>
                <c:formatCode>General</c:formatCode>
                <c:ptCount val="2"/>
                <c:pt idx="0">
                  <c:v>5200</c:v>
                </c:pt>
                <c:pt idx="1">
                  <c:v>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3043-499D-8D40-8B87C7601217}"/>
            </c:ext>
          </c:extLst>
        </c:ser>
        <c:ser>
          <c:idx val="35"/>
          <c:order val="35"/>
          <c:tx>
            <c:strRef>
              <c:f>ChartsDataSheet!$BUQ$103</c:f>
              <c:strCache>
                <c:ptCount val="1"/>
                <c:pt idx="0">
                  <c:v>Red 10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ChartsDataSheet!$BUQ$104:$BUQ$105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ChartsDataSheet!$BUQ$106:$BUQ$107</c:f>
              <c:numCache>
                <c:formatCode>General</c:formatCode>
                <c:ptCount val="2"/>
                <c:pt idx="0">
                  <c:v>5184</c:v>
                </c:pt>
                <c:pt idx="1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3043-499D-8D40-8B87C7601217}"/>
            </c:ext>
          </c:extLst>
        </c:ser>
        <c:ser>
          <c:idx val="36"/>
          <c:order val="36"/>
          <c:tx>
            <c:strRef>
              <c:f>ChartsDataSheet!$BUR$103</c:f>
              <c:strCache>
                <c:ptCount val="1"/>
                <c:pt idx="0">
                  <c:v>Red 11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ChartsDataSheet!$BUR$104:$BUR$105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ChartsDataSheet!$BUR$106:$BUR$107</c:f>
              <c:numCache>
                <c:formatCode>General</c:formatCode>
                <c:ptCount val="2"/>
                <c:pt idx="0">
                  <c:v>4800</c:v>
                </c:pt>
                <c:pt idx="1">
                  <c:v>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3043-499D-8D40-8B87C7601217}"/>
            </c:ext>
          </c:extLst>
        </c:ser>
        <c:ser>
          <c:idx val="37"/>
          <c:order val="37"/>
          <c:tx>
            <c:strRef>
              <c:f>ChartsDataSheet!$BUS$103</c:f>
              <c:strCache>
                <c:ptCount val="1"/>
                <c:pt idx="0">
                  <c:v>Red 12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ChartsDataSheet!$BUS$104:$BUS$105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ChartsDataSheet!$BUS$106:$BUS$107</c:f>
              <c:numCache>
                <c:formatCode>General</c:formatCode>
                <c:ptCount val="2"/>
                <c:pt idx="0">
                  <c:v>4625</c:v>
                </c:pt>
                <c:pt idx="1">
                  <c:v>2668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3043-499D-8D40-8B87C7601217}"/>
            </c:ext>
          </c:extLst>
        </c:ser>
        <c:ser>
          <c:idx val="38"/>
          <c:order val="38"/>
          <c:tx>
            <c:strRef>
              <c:f>ChartsDataSheet!$BUH$118</c:f>
              <c:strCache>
                <c:ptCount val="1"/>
                <c:pt idx="0">
                  <c:v>Var 1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ChartsDataSheet!$BUH$121</c:f>
                  <c:strCache>
                    <c:ptCount val="1"/>
                    <c:pt idx="0">
                      <c:v>-1.500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{7BBC6AC3-656C-4B53-BE08-58CCFDCC4EDC}</c15:txfldGUID>
                      <c15:f>ChartsDataSheet!$BUH$121</c15:f>
                      <c15:dlblFieldTableCache>
                        <c:ptCount val="1"/>
                        <c:pt idx="0">
                          <c:v>-1.500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A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ChartsDataSheet!$BUH$119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ChartsDataSheet!$BUH$120</c:f>
              <c:numCache>
                <c:formatCode>"+"#,##0;"-"#,##0</c:formatCode>
                <c:ptCount val="1"/>
                <c:pt idx="0">
                  <c:v>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3043-499D-8D40-8B87C7601217}"/>
            </c:ext>
          </c:extLst>
        </c:ser>
        <c:ser>
          <c:idx val="39"/>
          <c:order val="39"/>
          <c:tx>
            <c:strRef>
              <c:f>ChartsDataSheet!$BUI$118</c:f>
              <c:strCache>
                <c:ptCount val="1"/>
                <c:pt idx="0">
                  <c:v>Var 2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ChartsDataSheet!$BUI$121</c:f>
                  <c:strCache>
                    <c:ptCount val="1"/>
                    <c:pt idx="0">
                      <c:v>-1.741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{0A1E8663-E4D5-40C7-9C80-E77FC33185E3}</c15:txfldGUID>
                      <c15:f>ChartsDataSheet!$BUI$121</c15:f>
                      <c15:dlblFieldTableCache>
                        <c:ptCount val="1"/>
                        <c:pt idx="0">
                          <c:v>-1.741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C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ChartsDataSheet!$BUI$119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ChartsDataSheet!$BUI$120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3043-499D-8D40-8B87C7601217}"/>
            </c:ext>
          </c:extLst>
        </c:ser>
        <c:ser>
          <c:idx val="40"/>
          <c:order val="40"/>
          <c:tx>
            <c:strRef>
              <c:f>ChartsDataSheet!$BUJ$118</c:f>
              <c:strCache>
                <c:ptCount val="1"/>
                <c:pt idx="0">
                  <c:v>Var 3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ChartsDataSheet!$BUJ$121</c:f>
                  <c:strCache>
                    <c:ptCount val="1"/>
                    <c:pt idx="0">
                      <c:v>-1.260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{7ED0AC61-EFFB-48A8-A761-2CCCB640859E}</c15:txfldGUID>
                      <c15:f>ChartsDataSheet!$BUJ$121</c15:f>
                      <c15:dlblFieldTableCache>
                        <c:ptCount val="1"/>
                        <c:pt idx="0">
                          <c:v>-1.260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E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ChartsDataSheet!$BUJ$119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ChartsDataSheet!$BUJ$120</c:f>
              <c:numCache>
                <c:formatCode>"+"#,##0;"-"#,##0</c:formatCode>
                <c:ptCount val="1"/>
                <c:pt idx="0">
                  <c:v>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3043-499D-8D40-8B87C7601217}"/>
            </c:ext>
          </c:extLst>
        </c:ser>
        <c:ser>
          <c:idx val="41"/>
          <c:order val="41"/>
          <c:tx>
            <c:strRef>
              <c:f>ChartsDataSheet!$BUK$118</c:f>
              <c:strCache>
                <c:ptCount val="1"/>
                <c:pt idx="0">
                  <c:v>Var 4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ChartsDataSheet!$BUK$121</c:f>
                  <c:strCache>
                    <c:ptCount val="1"/>
                    <c:pt idx="0">
                      <c:v>-2.126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{4B832A7A-88CC-4700-977D-D53B8E012B57}</c15:txfldGUID>
                      <c15:f>ChartsDataSheet!$BUK$121</c15:f>
                      <c15:dlblFieldTableCache>
                        <c:ptCount val="1"/>
                        <c:pt idx="0">
                          <c:v>-2.126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0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ChartsDataSheet!$BUK$119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ChartsDataSheet!$BUK$120</c:f>
              <c:numCache>
                <c:formatCode>"+"#,##0;"-"#,##0</c:formatCode>
                <c:ptCount val="1"/>
                <c:pt idx="0">
                  <c:v>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3043-499D-8D40-8B87C7601217}"/>
            </c:ext>
          </c:extLst>
        </c:ser>
        <c:ser>
          <c:idx val="42"/>
          <c:order val="42"/>
          <c:tx>
            <c:strRef>
              <c:f>ChartsDataSheet!$BUL$118</c:f>
              <c:strCache>
                <c:ptCount val="1"/>
                <c:pt idx="0">
                  <c:v>Var 5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ChartsDataSheet!$BUL$121</c:f>
                  <c:strCache>
                    <c:ptCount val="1"/>
                    <c:pt idx="0">
                      <c:v>-1.821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{F069C46C-1531-45FE-9875-579D77215540}</c15:txfldGUID>
                      <c15:f>ChartsDataSheet!$BUL$121</c15:f>
                      <c15:dlblFieldTableCache>
                        <c:ptCount val="1"/>
                        <c:pt idx="0">
                          <c:v>-1.821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2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ChartsDataSheet!$BUL$119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ChartsDataSheet!$BUL$120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3043-499D-8D40-8B87C7601217}"/>
            </c:ext>
          </c:extLst>
        </c:ser>
        <c:ser>
          <c:idx val="43"/>
          <c:order val="43"/>
          <c:tx>
            <c:strRef>
              <c:f>ChartsDataSheet!$BUM$118</c:f>
              <c:strCache>
                <c:ptCount val="1"/>
                <c:pt idx="0">
                  <c:v>Var 6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ChartsDataSheet!$BUM$121</c:f>
                  <c:strCache>
                    <c:ptCount val="1"/>
                    <c:pt idx="0">
                      <c:v>-2.207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{547DBF6C-9B40-49A2-85E6-CB138F9F7738}</c15:txfldGUID>
                      <c15:f>ChartsDataSheet!$BUM$121</c15:f>
                      <c15:dlblFieldTableCache>
                        <c:ptCount val="1"/>
                        <c:pt idx="0">
                          <c:v>-2.207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4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ChartsDataSheet!$BUM$119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ChartsDataSheet!$BUM$120</c:f>
              <c:numCache>
                <c:formatCode>"+"#,##0;"-"#,##0</c:formatCode>
                <c:ptCount val="1"/>
                <c:pt idx="0">
                  <c:v>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3043-499D-8D40-8B87C7601217}"/>
            </c:ext>
          </c:extLst>
        </c:ser>
        <c:ser>
          <c:idx val="44"/>
          <c:order val="44"/>
          <c:tx>
            <c:strRef>
              <c:f>ChartsDataSheet!$BUN$118</c:f>
              <c:strCache>
                <c:ptCount val="1"/>
                <c:pt idx="0">
                  <c:v>Var 7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ChartsDataSheet!$BUN$121</c:f>
                  <c:strCache>
                    <c:ptCount val="1"/>
                    <c:pt idx="0">
                      <c:v>-2.080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{60AC0A60-29ED-46AB-8544-B08D187FD214}</c15:txfldGUID>
                      <c15:f>ChartsDataSheet!$BUN$121</c15:f>
                      <c15:dlblFieldTableCache>
                        <c:ptCount val="1"/>
                        <c:pt idx="0">
                          <c:v>-2.080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6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ChartsDataSheet!$BUN$119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ChartsDataSheet!$BUN$120</c:f>
              <c:numCache>
                <c:formatCode>"+"#,##0;"-"#,##0</c:formatCode>
                <c:ptCount val="1"/>
                <c:pt idx="0">
                  <c:v>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3043-499D-8D40-8B87C7601217}"/>
            </c:ext>
          </c:extLst>
        </c:ser>
        <c:ser>
          <c:idx val="45"/>
          <c:order val="45"/>
          <c:tx>
            <c:strRef>
              <c:f>ChartsDataSheet!$BUO$118</c:f>
              <c:strCache>
                <c:ptCount val="1"/>
                <c:pt idx="0">
                  <c:v>Var 8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ChartsDataSheet!$BUO$121</c:f>
                  <c:strCache>
                    <c:ptCount val="1"/>
                    <c:pt idx="0">
                      <c:v>-1.013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{D95D3BF8-5FFF-4BEA-BA39-91042894CB5A}</c15:txfldGUID>
                      <c15:f>ChartsDataSheet!$BUO$121</c15:f>
                      <c15:dlblFieldTableCache>
                        <c:ptCount val="1"/>
                        <c:pt idx="0">
                          <c:v>-1.013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8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ChartsDataSheet!$BUO$119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ChartsDataSheet!$BUO$120</c:f>
              <c:numCache>
                <c:formatCode>"+"#,##0;"-"#,##0</c:formatCode>
                <c:ptCount val="1"/>
                <c:pt idx="0">
                  <c:v>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3043-499D-8D40-8B87C7601217}"/>
            </c:ext>
          </c:extLst>
        </c:ser>
        <c:ser>
          <c:idx val="46"/>
          <c:order val="46"/>
          <c:tx>
            <c:strRef>
              <c:f>ChartsDataSheet!$BUP$118</c:f>
              <c:strCache>
                <c:ptCount val="1"/>
                <c:pt idx="0">
                  <c:v>Var 9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ChartsDataSheet!$BUP$121</c:f>
                  <c:strCache>
                    <c:ptCount val="1"/>
                    <c:pt idx="0">
                      <c:v>-1.936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{0BA16509-FECC-4703-BBF6-4B9E451E19DC}</c15:txfldGUID>
                      <c15:f>ChartsDataSheet!$BUP$121</c15:f>
                      <c15:dlblFieldTableCache>
                        <c:ptCount val="1"/>
                        <c:pt idx="0">
                          <c:v>-1.936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A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ChartsDataSheet!$BUP$119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ChartsDataSheet!$BUP$120</c:f>
              <c:numCache>
                <c:formatCode>"+"#,##0;"-"#,##0</c:formatCode>
                <c:ptCount val="1"/>
                <c:pt idx="0">
                  <c:v>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3043-499D-8D40-8B87C7601217}"/>
            </c:ext>
          </c:extLst>
        </c:ser>
        <c:ser>
          <c:idx val="47"/>
          <c:order val="47"/>
          <c:tx>
            <c:strRef>
              <c:f>ChartsDataSheet!$BUQ$118</c:f>
              <c:strCache>
                <c:ptCount val="1"/>
                <c:pt idx="0">
                  <c:v>Var 10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ChartsDataSheet!$BUQ$121</c:f>
                  <c:strCache>
                    <c:ptCount val="1"/>
                    <c:pt idx="0">
                      <c:v>-2.245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{AF2B55AF-FE28-4467-B8B0-829D9C0F49E7}</c15:txfldGUID>
                      <c15:f>ChartsDataSheet!$BUQ$121</c15:f>
                      <c15:dlblFieldTableCache>
                        <c:ptCount val="1"/>
                        <c:pt idx="0">
                          <c:v>-2.245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C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ChartsDataSheet!$BUQ$119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ChartsDataSheet!$BUQ$120</c:f>
              <c:numCache>
                <c:formatCode>"+"#,##0;"-"#,##0</c:formatCode>
                <c:ptCount val="1"/>
                <c:pt idx="0">
                  <c:v>5184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3043-499D-8D40-8B87C7601217}"/>
            </c:ext>
          </c:extLst>
        </c:ser>
        <c:ser>
          <c:idx val="48"/>
          <c:order val="48"/>
          <c:tx>
            <c:strRef>
              <c:f>ChartsDataSheet!$BUR$118</c:f>
              <c:strCache>
                <c:ptCount val="1"/>
                <c:pt idx="0">
                  <c:v>Var 11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ChartsDataSheet!$BUR$121</c:f>
                  <c:strCache>
                    <c:ptCount val="1"/>
                    <c:pt idx="0">
                      <c:v>-2.006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{A94B2C59-78E9-49A7-A1AC-52B3DC70FF21}</c15:txfldGUID>
                      <c15:f>ChartsDataSheet!$BUR$121</c15:f>
                      <c15:dlblFieldTableCache>
                        <c:ptCount val="1"/>
                        <c:pt idx="0">
                          <c:v>-2.006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5E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ChartsDataSheet!$BUR$119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ChartsDataSheet!$BUR$120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3043-499D-8D40-8B87C7601217}"/>
            </c:ext>
          </c:extLst>
        </c:ser>
        <c:ser>
          <c:idx val="49"/>
          <c:order val="49"/>
          <c:tx>
            <c:strRef>
              <c:f>ChartsDataSheet!$BUS$118</c:f>
              <c:strCache>
                <c:ptCount val="1"/>
                <c:pt idx="0">
                  <c:v>Var 12</c:v>
                </c:pt>
              </c:strCache>
            </c:strRef>
          </c:tx>
          <c:spPr>
            <a:ln w="381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ChartsDataSheet!$BUS$121</c:f>
                  <c:strCache>
                    <c:ptCount val="1"/>
                    <c:pt idx="0">
                      <c:v>-1.957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{20D33B83-DD6E-4DA7-A284-48C820D87F98}</c15:txfldGUID>
                      <c15:f>ChartsDataSheet!$BUS$121</c15:f>
                      <c15:dlblFieldTableCache>
                        <c:ptCount val="1"/>
                        <c:pt idx="0">
                          <c:v>-1.957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60-3043-499D-8D40-8B87C76012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ChartsDataSheet!$BUS$119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ChartsDataSheet!$BUS$120</c:f>
              <c:numCache>
                <c:formatCode>"+"#,##0;"-"#,##0</c:formatCode>
                <c:ptCount val="1"/>
                <c:pt idx="0">
                  <c:v>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3043-499D-8D40-8B87C7601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39376"/>
        <c:axId val="507339048"/>
      </c:scatterChart>
      <c:catAx>
        <c:axId val="50733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7339048"/>
        <c:crosses val="autoZero"/>
        <c:auto val="1"/>
        <c:lblAlgn val="ctr"/>
        <c:lblOffset val="0"/>
        <c:noMultiLvlLbl val="0"/>
      </c:catAx>
      <c:valAx>
        <c:axId val="507339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0733937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8-851E-4A76-80C3-8280BB0221F6}"/>
              </c:ext>
            </c:extLst>
          </c:dPt>
          <c:dPt>
            <c:idx val="1"/>
            <c:bubble3D val="0"/>
            <c:spPr>
              <a:solidFill>
                <a:srgbClr val="435361"/>
              </a:solidFill>
            </c:spPr>
            <c:extLst>
              <c:ext xmlns:c16="http://schemas.microsoft.com/office/drawing/2014/chart" uri="{C3380CC4-5D6E-409C-BE32-E72D297353CC}">
                <c16:uniqueId val="{00000009-851E-4A76-80C3-8280BB0221F6}"/>
              </c:ext>
            </c:extLst>
          </c:dPt>
          <c:val>
            <c:numRef>
              <c:f>calc!$C$42:$C$43</c:f>
              <c:numCache>
                <c:formatCode>0%</c:formatCode>
                <c:ptCount val="2"/>
                <c:pt idx="0">
                  <c:v>0.98076923076923073</c:v>
                </c:pt>
                <c:pt idx="1">
                  <c:v>1.9230769230769273E-2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1E-4A76-80C3-8280BB0221F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01B1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1E-4A76-80C3-8280BB0221F6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1E-4A76-80C3-8280BB0221F6}"/>
              </c:ext>
            </c:extLst>
          </c:dPt>
          <c:val>
            <c:numRef>
              <c:f>calc!$C$42:$C$43</c:f>
              <c:numCache>
                <c:formatCode>0%</c:formatCode>
                <c:ptCount val="2"/>
                <c:pt idx="0">
                  <c:v>0.98076923076923073</c:v>
                </c:pt>
                <c:pt idx="1">
                  <c:v>1.9230769230769273E-2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E-4A76-80C3-8280BB02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1-BB62-4CAB-905B-A6D6C3463D81}"/>
              </c:ext>
            </c:extLst>
          </c:dPt>
          <c:dPt>
            <c:idx val="1"/>
            <c:bubble3D val="0"/>
            <c:spPr>
              <a:solidFill>
                <a:srgbClr val="435361"/>
              </a:solidFill>
            </c:spPr>
            <c:extLst>
              <c:ext xmlns:c16="http://schemas.microsoft.com/office/drawing/2014/chart" uri="{C3380CC4-5D6E-409C-BE32-E72D297353CC}">
                <c16:uniqueId val="{00000003-BB62-4CAB-905B-A6D6C3463D81}"/>
              </c:ext>
            </c:extLst>
          </c:dPt>
          <c:val>
            <c:numRef>
              <c:f>calc!$H$42:$H$43</c:f>
              <c:numCache>
                <c:formatCode>0%</c:formatCode>
                <c:ptCount val="2"/>
                <c:pt idx="0">
                  <c:v>0.81479452054794521</c:v>
                </c:pt>
                <c:pt idx="1">
                  <c:v>0.18520547945205479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62-4CAB-905B-A6D6C3463D8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01B1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B62-4CAB-905B-A6D6C3463D81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B62-4CAB-905B-A6D6C3463D81}"/>
              </c:ext>
            </c:extLst>
          </c:dPt>
          <c:val>
            <c:numRef>
              <c:f>calc!$H$42:$H$43</c:f>
              <c:numCache>
                <c:formatCode>0%</c:formatCode>
                <c:ptCount val="2"/>
                <c:pt idx="0">
                  <c:v>0.81479452054794521</c:v>
                </c:pt>
                <c:pt idx="1">
                  <c:v>0.18520547945205479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62-4CAB-905B-A6D6C3463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dPt>
            <c:idx val="0"/>
            <c:bubble3D val="0"/>
            <c:spPr>
              <a:solidFill>
                <a:srgbClr val="01B1A3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2-60DB-487D-A664-CC0B54562766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C0504D"/>
                    </a:solidFill>
                  </a14:hiddenFill>
                </a:ex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60DB-487D-A664-CC0B54562766}"/>
              </c:ext>
            </c:extLst>
          </c:dPt>
          <c:dLbls>
            <c:dLbl>
              <c:idx val="0"/>
              <c:layout>
                <c:manualLayout>
                  <c:x val="-0.17612031733241465"/>
                  <c:y val="-0.22018756721563967"/>
                </c:manualLayout>
              </c:layout>
              <c:tx>
                <c:strRef>
                  <c:f>calc!$G$19</c:f>
                  <c:strCache>
                    <c:ptCount val="1"/>
                    <c:pt idx="0">
                      <c:v>26,5%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600" b="1"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770938314424566"/>
                      <c:h val="0.2248218882587539"/>
                    </c:manualLayout>
                  </c15:layout>
                  <c15:dlblFieldTable>
                    <c15:dlblFTEntry>
                      <c15:txfldGUID>{C5E3F8C0-8F06-4887-A5DF-BACF381D1412}</c15:txfldGUID>
                      <c15:f>calc!$G$19</c15:f>
                      <c15:dlblFieldTableCache>
                        <c:ptCount val="1"/>
                        <c:pt idx="0">
                          <c:v>26,5%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0DB-487D-A664-CC0B5456276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DB-487D-A664-CC0B5456276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ChartsDataSheet!$CJU$3:$CJV$3</c:f>
              <c:numCache>
                <c:formatCode>General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B-487D-A664-CC0B54562766}"/>
            </c:ext>
          </c:extLst>
        </c:ser>
        <c:ser>
          <c:idx val="1"/>
          <c:order val="1"/>
          <c:spPr>
            <a:solidFill>
              <a:srgbClr val="C0504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dPt>
            <c:idx val="0"/>
            <c:bubble3D val="0"/>
            <c:spPr>
              <a:solidFill>
                <a:srgbClr val="FB5A56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60DB-487D-A664-CC0B54562766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C0504D"/>
                    </a:solidFill>
                  </a14:hiddenFill>
                </a:ex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6-60DB-487D-A664-CC0B54562766}"/>
              </c:ext>
            </c:extLst>
          </c:dPt>
          <c:val>
            <c:numRef>
              <c:f>ChartsDataSheet!$CJY$3:$CJZ$3</c:f>
              <c:numCache>
                <c:formatCode>General</c:formatCode>
                <c:ptCount val="2"/>
                <c:pt idx="0">
                  <c:v>0.39696071163825059</c:v>
                </c:pt>
                <c:pt idx="1">
                  <c:v>0.60303928836174947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DB-487D-A664-CC0B54562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2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2705644053027623E-2"/>
          <c:y val="3.6656487516065095E-2"/>
          <c:w val="0.96729435594697233"/>
          <c:h val="0.96334351248393491"/>
        </c:manualLayout>
      </c:layout>
      <c:barChart>
        <c:barDir val="col"/>
        <c:grouping val="clustered"/>
        <c:varyColors val="0"/>
        <c:ser>
          <c:idx val="0"/>
          <c:order val="0"/>
          <c:tx>
            <c:v>Plan</c:v>
          </c:tx>
          <c:spPr>
            <a:solidFill>
              <a:srgbClr val="BFBFBF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B-C2DE-401B-B3B3-A60054A89C9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C-C2DE-401B-B3B3-A60054A89C9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D-C2DE-401B-B3B3-A60054A89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E-C2DE-401B-B3B3-A60054A89C9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4F-C2DE-401B-B3B3-A60054A89C9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0-C2DE-401B-B3B3-A60054A89C9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1-C2DE-401B-B3B3-A60054A89C99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2-C2DE-401B-B3B3-A60054A89C99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3-C2DE-401B-B3B3-A60054A89C9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4-C2DE-401B-B3B3-A60054A89C99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5-C2DE-401B-B3B3-A60054A89C99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56-C2DE-401B-B3B3-A60054A89C99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ChartsDataSheet!$BUH$92:$BUS$92</c:f>
              <c:numCache>
                <c:formatCode>General</c:formatCode>
                <c:ptCount val="12"/>
              </c:numCache>
            </c:numRef>
          </c:cat>
          <c:val>
            <c:numRef>
              <c:f>ChartsDataSheet!$BUH$93:$BUS$93</c:f>
              <c:numCache>
                <c:formatCode>General</c:formatCode>
                <c:ptCount val="12"/>
                <c:pt idx="0">
                  <c:v>4501</c:v>
                </c:pt>
                <c:pt idx="1">
                  <c:v>4800</c:v>
                </c:pt>
                <c:pt idx="2">
                  <c:v>4300</c:v>
                </c:pt>
                <c:pt idx="3">
                  <c:v>5100</c:v>
                </c:pt>
                <c:pt idx="4">
                  <c:v>4800</c:v>
                </c:pt>
                <c:pt idx="5">
                  <c:v>5200</c:v>
                </c:pt>
                <c:pt idx="6">
                  <c:v>5100</c:v>
                </c:pt>
                <c:pt idx="7">
                  <c:v>4100</c:v>
                </c:pt>
                <c:pt idx="8">
                  <c:v>5200</c:v>
                </c:pt>
                <c:pt idx="9">
                  <c:v>5184</c:v>
                </c:pt>
                <c:pt idx="10">
                  <c:v>4800</c:v>
                </c:pt>
                <c:pt idx="11">
                  <c:v>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E-401B-B3B3-A60054A8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339376"/>
        <c:axId val="507339048"/>
      </c:barChart>
      <c:scatterChart>
        <c:scatterStyle val="lineMarker"/>
        <c:varyColors val="0"/>
        <c:ser>
          <c:idx val="1"/>
          <c:order val="1"/>
          <c:tx>
            <c:v>Zero line</c:v>
          </c:tx>
          <c:spPr>
            <a:ln w="63500" cmpd="sng">
              <a:solidFill>
                <a:srgbClr val="808080"/>
              </a:solidFill>
            </a:ln>
          </c:spPr>
          <c:marker>
            <c:symbol val="none"/>
          </c:marker>
          <c:xVal>
            <c:numRef>
              <c:f>ChartsDataSheet!$BUH$115:$BUS$115</c:f>
              <c:numCache>
                <c:formatCode>General</c:formatCode>
                <c:ptCount val="12"/>
                <c:pt idx="0">
                  <c:v>0.77</c:v>
                </c:pt>
                <c:pt idx="1">
                  <c:v>2.2200000000000002</c:v>
                </c:pt>
                <c:pt idx="2">
                  <c:v>3.22</c:v>
                </c:pt>
                <c:pt idx="3">
                  <c:v>4.22</c:v>
                </c:pt>
                <c:pt idx="4">
                  <c:v>5.22</c:v>
                </c:pt>
                <c:pt idx="5">
                  <c:v>6.22</c:v>
                </c:pt>
                <c:pt idx="6">
                  <c:v>7.22</c:v>
                </c:pt>
                <c:pt idx="7">
                  <c:v>8.2200000000000006</c:v>
                </c:pt>
                <c:pt idx="8">
                  <c:v>9.2200000000000006</c:v>
                </c:pt>
                <c:pt idx="9">
                  <c:v>10.220000000000001</c:v>
                </c:pt>
                <c:pt idx="10">
                  <c:v>11.22</c:v>
                </c:pt>
                <c:pt idx="11">
                  <c:v>12.22</c:v>
                </c:pt>
              </c:numCache>
            </c:numRef>
          </c:xVal>
          <c:yVal>
            <c:numRef>
              <c:f>ChartsDataSheet!$BUH$116:$BUS$116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DE-401B-B3B3-A60054A89C99}"/>
            </c:ext>
          </c:extLst>
        </c:ser>
        <c:ser>
          <c:idx val="2"/>
          <c:order val="2"/>
          <c:tx>
            <c:strRef>
              <c:f>ChartsDataSheet!$BUH$109</c:f>
              <c:strCache>
                <c:ptCount val="1"/>
                <c:pt idx="0">
                  <c:v>Actual 1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ChartsDataSheet!$BUH$110:$BUH$111</c:f>
              <c:numCache>
                <c:formatCode>General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ChartsDataSheet!$BUH$112:$BUH$113</c:f>
              <c:numCache>
                <c:formatCode>General</c:formatCode>
                <c:ptCount val="2"/>
                <c:pt idx="0">
                  <c:v>0</c:v>
                </c:pt>
                <c:pt idx="1">
                  <c:v>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DE-401B-B3B3-A60054A89C99}"/>
            </c:ext>
          </c:extLst>
        </c:ser>
        <c:ser>
          <c:idx val="3"/>
          <c:order val="3"/>
          <c:tx>
            <c:strRef>
              <c:f>ChartsDataSheet!$BUI$109</c:f>
              <c:strCache>
                <c:ptCount val="1"/>
                <c:pt idx="0">
                  <c:v>Actual 2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ChartsDataSheet!$BUI$110:$BUI$111</c:f>
              <c:numCache>
                <c:formatCode>General</c:formatCode>
                <c:ptCount val="2"/>
                <c:pt idx="0">
                  <c:v>1.75</c:v>
                </c:pt>
                <c:pt idx="1">
                  <c:v>1.75</c:v>
                </c:pt>
              </c:numCache>
            </c:numRef>
          </c:xVal>
          <c:yVal>
            <c:numRef>
              <c:f>ChartsDataSheet!$BUI$112:$BUI$113</c:f>
              <c:numCache>
                <c:formatCode>General</c:formatCode>
                <c:ptCount val="2"/>
                <c:pt idx="0">
                  <c:v>0</c:v>
                </c:pt>
                <c:pt idx="1">
                  <c:v>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DE-401B-B3B3-A60054A89C99}"/>
            </c:ext>
          </c:extLst>
        </c:ser>
        <c:ser>
          <c:idx val="4"/>
          <c:order val="4"/>
          <c:tx>
            <c:strRef>
              <c:f>ChartsDataSheet!$BUJ$109</c:f>
              <c:strCache>
                <c:ptCount val="1"/>
                <c:pt idx="0">
                  <c:v>Actual 3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ChartsDataSheet!$BUJ$110:$BUJ$111</c:f>
              <c:numCache>
                <c:formatCode>General</c:formatCode>
                <c:ptCount val="2"/>
                <c:pt idx="0">
                  <c:v>2.75</c:v>
                </c:pt>
                <c:pt idx="1">
                  <c:v>2.75</c:v>
                </c:pt>
              </c:numCache>
            </c:numRef>
          </c:xVal>
          <c:yVal>
            <c:numRef>
              <c:f>ChartsDataSheet!$BUJ$112:$BUJ$113</c:f>
              <c:numCache>
                <c:formatCode>General</c:formatCode>
                <c:ptCount val="2"/>
                <c:pt idx="0">
                  <c:v>0</c:v>
                </c:pt>
                <c:pt idx="1">
                  <c:v>3040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DE-401B-B3B3-A60054A89C99}"/>
            </c:ext>
          </c:extLst>
        </c:ser>
        <c:ser>
          <c:idx val="5"/>
          <c:order val="5"/>
          <c:tx>
            <c:strRef>
              <c:f>ChartsDataSheet!$BUK$109</c:f>
              <c:strCache>
                <c:ptCount val="1"/>
                <c:pt idx="0">
                  <c:v>Actual 4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ChartsDataSheet!$BUK$110:$BUK$111</c:f>
              <c:numCache>
                <c:formatCode>General</c:formatCode>
                <c:ptCount val="2"/>
                <c:pt idx="0">
                  <c:v>3.75</c:v>
                </c:pt>
                <c:pt idx="1">
                  <c:v>3.75</c:v>
                </c:pt>
              </c:numCache>
            </c:numRef>
          </c:xVal>
          <c:yVal>
            <c:numRef>
              <c:f>ChartsDataSheet!$BUK$112:$BUK$113</c:f>
              <c:numCache>
                <c:formatCode>General</c:formatCode>
                <c:ptCount val="2"/>
                <c:pt idx="0">
                  <c:v>0</c:v>
                </c:pt>
                <c:pt idx="1">
                  <c:v>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DE-401B-B3B3-A60054A89C99}"/>
            </c:ext>
          </c:extLst>
        </c:ser>
        <c:ser>
          <c:idx val="6"/>
          <c:order val="6"/>
          <c:tx>
            <c:strRef>
              <c:f>ChartsDataSheet!$BUL$109</c:f>
              <c:strCache>
                <c:ptCount val="1"/>
                <c:pt idx="0">
                  <c:v>Actual 5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ChartsDataSheet!$BUL$110:$BUL$111</c:f>
              <c:numCache>
                <c:formatCode>General</c:formatCode>
                <c:ptCount val="2"/>
                <c:pt idx="0">
                  <c:v>4.75</c:v>
                </c:pt>
                <c:pt idx="1">
                  <c:v>4.75</c:v>
                </c:pt>
              </c:numCache>
            </c:numRef>
          </c:xVal>
          <c:yVal>
            <c:numRef>
              <c:f>ChartsDataSheet!$BUL$112:$BUL$113</c:f>
              <c:numCache>
                <c:formatCode>General</c:formatCode>
                <c:ptCount val="2"/>
                <c:pt idx="0">
                  <c:v>0</c:v>
                </c:pt>
                <c:pt idx="1">
                  <c:v>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2DE-401B-B3B3-A60054A89C99}"/>
            </c:ext>
          </c:extLst>
        </c:ser>
        <c:ser>
          <c:idx val="7"/>
          <c:order val="7"/>
          <c:tx>
            <c:strRef>
              <c:f>ChartsDataSheet!$BUM$109</c:f>
              <c:strCache>
                <c:ptCount val="1"/>
                <c:pt idx="0">
                  <c:v>Actual 6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ChartsDataSheet!$BUM$110:$BUM$111</c:f>
              <c:numCache>
                <c:formatCode>General</c:formatCode>
                <c:ptCount val="2"/>
                <c:pt idx="0">
                  <c:v>5.75</c:v>
                </c:pt>
                <c:pt idx="1">
                  <c:v>5.75</c:v>
                </c:pt>
              </c:numCache>
            </c:numRef>
          </c:xVal>
          <c:yVal>
            <c:numRef>
              <c:f>ChartsDataSheet!$BUM$112:$BUM$113</c:f>
              <c:numCache>
                <c:formatCode>General</c:formatCode>
                <c:ptCount val="2"/>
                <c:pt idx="0">
                  <c:v>0</c:v>
                </c:pt>
                <c:pt idx="1">
                  <c:v>2993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2DE-401B-B3B3-A60054A89C99}"/>
            </c:ext>
          </c:extLst>
        </c:ser>
        <c:ser>
          <c:idx val="8"/>
          <c:order val="8"/>
          <c:tx>
            <c:strRef>
              <c:f>ChartsDataSheet!$BUN$109</c:f>
              <c:strCache>
                <c:ptCount val="1"/>
                <c:pt idx="0">
                  <c:v>Actual 7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ChartsDataSheet!$BUN$110:$BUN$111</c:f>
              <c:numCache>
                <c:formatCode>General</c:formatCode>
                <c:ptCount val="2"/>
                <c:pt idx="0">
                  <c:v>6.75</c:v>
                </c:pt>
                <c:pt idx="1">
                  <c:v>6.75</c:v>
                </c:pt>
              </c:numCache>
            </c:numRef>
          </c:xVal>
          <c:yVal>
            <c:numRef>
              <c:f>ChartsDataSheet!$BUN$112:$BUN$113</c:f>
              <c:numCache>
                <c:formatCode>General</c:formatCode>
                <c:ptCount val="2"/>
                <c:pt idx="0">
                  <c:v>0</c:v>
                </c:pt>
                <c:pt idx="1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2DE-401B-B3B3-A60054A89C99}"/>
            </c:ext>
          </c:extLst>
        </c:ser>
        <c:ser>
          <c:idx val="9"/>
          <c:order val="9"/>
          <c:tx>
            <c:strRef>
              <c:f>ChartsDataSheet!$BUO$109</c:f>
              <c:strCache>
                <c:ptCount val="1"/>
                <c:pt idx="0">
                  <c:v>Actual 8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ChartsDataSheet!$BUO$110:$BUO$111</c:f>
              <c:numCache>
                <c:formatCode>General</c:formatCode>
                <c:ptCount val="2"/>
                <c:pt idx="0">
                  <c:v>7.75</c:v>
                </c:pt>
                <c:pt idx="1">
                  <c:v>7.75</c:v>
                </c:pt>
              </c:numCache>
            </c:numRef>
          </c:xVal>
          <c:yVal>
            <c:numRef>
              <c:f>ChartsDataSheet!$BUO$112:$BUO$113</c:f>
              <c:numCache>
                <c:formatCode>General</c:formatCode>
                <c:ptCount val="2"/>
                <c:pt idx="0">
                  <c:v>0</c:v>
                </c:pt>
                <c:pt idx="1">
                  <c:v>3087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2DE-401B-B3B3-A60054A89C99}"/>
            </c:ext>
          </c:extLst>
        </c:ser>
        <c:ser>
          <c:idx val="10"/>
          <c:order val="10"/>
          <c:tx>
            <c:strRef>
              <c:f>ChartsDataSheet!$BUP$109</c:f>
              <c:strCache>
                <c:ptCount val="1"/>
                <c:pt idx="0">
                  <c:v>Actual 9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ChartsDataSheet!$BUP$110:$BUP$111</c:f>
              <c:numCache>
                <c:formatCode>General</c:formatCode>
                <c:ptCount val="2"/>
                <c:pt idx="0">
                  <c:v>8.75</c:v>
                </c:pt>
                <c:pt idx="1">
                  <c:v>8.75</c:v>
                </c:pt>
              </c:numCache>
            </c:numRef>
          </c:xVal>
          <c:yVal>
            <c:numRef>
              <c:f>ChartsDataSheet!$BUP$112:$BUP$113</c:f>
              <c:numCache>
                <c:formatCode>General</c:formatCode>
                <c:ptCount val="2"/>
                <c:pt idx="0">
                  <c:v>0</c:v>
                </c:pt>
                <c:pt idx="1">
                  <c:v>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2DE-401B-B3B3-A60054A89C99}"/>
            </c:ext>
          </c:extLst>
        </c:ser>
        <c:ser>
          <c:idx val="11"/>
          <c:order val="11"/>
          <c:tx>
            <c:strRef>
              <c:f>ChartsDataSheet!$BUQ$109</c:f>
              <c:strCache>
                <c:ptCount val="1"/>
                <c:pt idx="0">
                  <c:v>Actual 10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ChartsDataSheet!$BUQ$110:$BUQ$111</c:f>
              <c:numCache>
                <c:formatCode>General</c:formatCode>
                <c:ptCount val="2"/>
                <c:pt idx="0">
                  <c:v>9.75</c:v>
                </c:pt>
                <c:pt idx="1">
                  <c:v>9.75</c:v>
                </c:pt>
              </c:numCache>
            </c:numRef>
          </c:xVal>
          <c:yVal>
            <c:numRef>
              <c:f>ChartsDataSheet!$BUQ$112:$BUQ$113</c:f>
              <c:numCache>
                <c:formatCode>General</c:formatCode>
                <c:ptCount val="2"/>
                <c:pt idx="0">
                  <c:v>0</c:v>
                </c:pt>
                <c:pt idx="1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2DE-401B-B3B3-A60054A89C99}"/>
            </c:ext>
          </c:extLst>
        </c:ser>
        <c:ser>
          <c:idx val="12"/>
          <c:order val="12"/>
          <c:tx>
            <c:strRef>
              <c:f>ChartsDataSheet!$BUR$109</c:f>
              <c:strCache>
                <c:ptCount val="1"/>
                <c:pt idx="0">
                  <c:v>Actual 11</c:v>
                </c:pt>
              </c:strCache>
            </c:strRef>
          </c:tx>
          <c:spPr>
            <a:ln w="38100" cmpd="sng">
              <a:solidFill>
                <a:srgbClr val="01B1A3"/>
              </a:solidFill>
              <a:headEnd w="lg" len="lg"/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ChartsDataSheet!$BUR$110:$BUR$111</c:f>
              <c:numCache>
                <c:formatCode>General</c:formatCode>
                <c:ptCount val="2"/>
                <c:pt idx="0">
                  <c:v>10.75</c:v>
                </c:pt>
                <c:pt idx="1">
                  <c:v>10.75</c:v>
                </c:pt>
              </c:numCache>
            </c:numRef>
          </c:xVal>
          <c:yVal>
            <c:numRef>
              <c:f>ChartsDataSheet!$BUR$112:$BUR$113</c:f>
              <c:numCache>
                <c:formatCode>General</c:formatCode>
                <c:ptCount val="2"/>
                <c:pt idx="0">
                  <c:v>0</c:v>
                </c:pt>
                <c:pt idx="1">
                  <c:v>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2DE-401B-B3B3-A60054A89C99}"/>
            </c:ext>
          </c:extLst>
        </c:ser>
        <c:ser>
          <c:idx val="13"/>
          <c:order val="13"/>
          <c:tx>
            <c:strRef>
              <c:f>ChartsDataSheet!$BUS$109</c:f>
              <c:strCache>
                <c:ptCount val="1"/>
                <c:pt idx="0">
                  <c:v>Actual 12</c:v>
                </c:pt>
              </c:strCache>
            </c:strRef>
          </c:tx>
          <c:spPr>
            <a:ln w="38100" cmpd="sng">
              <a:solidFill>
                <a:srgbClr val="01B1A3"/>
              </a:solidFill>
              <a:tailEnd type="triangle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ChartsDataSheet!$BUS$110:$BUS$111</c:f>
              <c:numCache>
                <c:formatCode>General</c:formatCode>
                <c:ptCount val="2"/>
                <c:pt idx="0">
                  <c:v>11.75</c:v>
                </c:pt>
                <c:pt idx="1">
                  <c:v>11.75</c:v>
                </c:pt>
              </c:numCache>
            </c:numRef>
          </c:xVal>
          <c:yVal>
            <c:numRef>
              <c:f>ChartsDataSheet!$BUS$112:$BUS$113</c:f>
              <c:numCache>
                <c:formatCode>General</c:formatCode>
                <c:ptCount val="2"/>
                <c:pt idx="0">
                  <c:v>0</c:v>
                </c:pt>
                <c:pt idx="1">
                  <c:v>2668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2DE-401B-B3B3-A60054A89C99}"/>
            </c:ext>
          </c:extLst>
        </c:ser>
        <c:ser>
          <c:idx val="14"/>
          <c:order val="14"/>
          <c:tx>
            <c:strRef>
              <c:f>ChartsDataSheet!$BUH$97</c:f>
              <c:strCache>
                <c:ptCount val="1"/>
                <c:pt idx="0">
                  <c:v>Green 1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ChartsDataSheet!$BUH$98:$BUH$99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ChartsDataSheet!$BUH$100:$BUH$101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2DE-401B-B3B3-A60054A89C99}"/>
            </c:ext>
          </c:extLst>
        </c:ser>
        <c:ser>
          <c:idx val="15"/>
          <c:order val="15"/>
          <c:tx>
            <c:strRef>
              <c:f>ChartsDataSheet!$BUI$97</c:f>
              <c:strCache>
                <c:ptCount val="1"/>
                <c:pt idx="0">
                  <c:v>Green 2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ChartsDataSheet!$BUI$98:$BUI$99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ChartsDataSheet!$BUI$100:$BUI$101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2DE-401B-B3B3-A60054A89C99}"/>
            </c:ext>
          </c:extLst>
        </c:ser>
        <c:ser>
          <c:idx val="16"/>
          <c:order val="16"/>
          <c:tx>
            <c:strRef>
              <c:f>ChartsDataSheet!$BUJ$97</c:f>
              <c:strCache>
                <c:ptCount val="1"/>
                <c:pt idx="0">
                  <c:v>Green 3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ChartsDataSheet!$BUJ$98:$BUJ$99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ChartsDataSheet!$BUJ$100:$BUJ$101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2DE-401B-B3B3-A60054A89C99}"/>
            </c:ext>
          </c:extLst>
        </c:ser>
        <c:ser>
          <c:idx val="17"/>
          <c:order val="17"/>
          <c:tx>
            <c:strRef>
              <c:f>ChartsDataSheet!$BUK$97</c:f>
              <c:strCache>
                <c:ptCount val="1"/>
                <c:pt idx="0">
                  <c:v>Green 4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ChartsDataSheet!$BUK$98:$BUK$99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ChartsDataSheet!$BUK$100:$BUK$101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2DE-401B-B3B3-A60054A89C99}"/>
            </c:ext>
          </c:extLst>
        </c:ser>
        <c:ser>
          <c:idx val="18"/>
          <c:order val="18"/>
          <c:tx>
            <c:strRef>
              <c:f>ChartsDataSheet!$BUL$97</c:f>
              <c:strCache>
                <c:ptCount val="1"/>
                <c:pt idx="0">
                  <c:v>Green 5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ChartsDataSheet!$BUL$98:$BUL$99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ChartsDataSheet!$BUL$100:$BUL$101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2DE-401B-B3B3-A60054A89C99}"/>
            </c:ext>
          </c:extLst>
        </c:ser>
        <c:ser>
          <c:idx val="19"/>
          <c:order val="19"/>
          <c:tx>
            <c:strRef>
              <c:f>ChartsDataSheet!$BUM$97</c:f>
              <c:strCache>
                <c:ptCount val="1"/>
                <c:pt idx="0">
                  <c:v>Green 6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ChartsDataSheet!$BUM$98:$BUM$99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ChartsDataSheet!$BUM$100:$BUM$101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2DE-401B-B3B3-A60054A89C99}"/>
            </c:ext>
          </c:extLst>
        </c:ser>
        <c:ser>
          <c:idx val="20"/>
          <c:order val="20"/>
          <c:tx>
            <c:strRef>
              <c:f>ChartsDataSheet!$BUN$97</c:f>
              <c:strCache>
                <c:ptCount val="1"/>
                <c:pt idx="0">
                  <c:v>Green 7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ChartsDataSheet!$BUN$98:$BUN$99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ChartsDataSheet!$BUN$100:$BUN$101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2DE-401B-B3B3-A60054A89C99}"/>
            </c:ext>
          </c:extLst>
        </c:ser>
        <c:ser>
          <c:idx val="21"/>
          <c:order val="21"/>
          <c:tx>
            <c:strRef>
              <c:f>ChartsDataSheet!$BUO$97</c:f>
              <c:strCache>
                <c:ptCount val="1"/>
                <c:pt idx="0">
                  <c:v>Green 8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ChartsDataSheet!$BUO$98:$BUO$99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ChartsDataSheet!$BUO$100:$BUO$101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2DE-401B-B3B3-A60054A89C99}"/>
            </c:ext>
          </c:extLst>
        </c:ser>
        <c:ser>
          <c:idx val="22"/>
          <c:order val="22"/>
          <c:tx>
            <c:strRef>
              <c:f>ChartsDataSheet!$BUP$97</c:f>
              <c:strCache>
                <c:ptCount val="1"/>
                <c:pt idx="0">
                  <c:v>Green 9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ChartsDataSheet!$BUP$98:$BUP$99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ChartsDataSheet!$BUP$100:$BUP$101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2DE-401B-B3B3-A60054A89C99}"/>
            </c:ext>
          </c:extLst>
        </c:ser>
        <c:ser>
          <c:idx val="23"/>
          <c:order val="23"/>
          <c:tx>
            <c:strRef>
              <c:f>ChartsDataSheet!$BUQ$97</c:f>
              <c:strCache>
                <c:ptCount val="1"/>
                <c:pt idx="0">
                  <c:v>Green 10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ChartsDataSheet!$BUQ$98:$BUQ$99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ChartsDataSheet!$BUQ$100:$BUQ$101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2DE-401B-B3B3-A60054A89C99}"/>
            </c:ext>
          </c:extLst>
        </c:ser>
        <c:ser>
          <c:idx val="24"/>
          <c:order val="24"/>
          <c:tx>
            <c:strRef>
              <c:f>ChartsDataSheet!$BUR$97</c:f>
              <c:strCache>
                <c:ptCount val="1"/>
                <c:pt idx="0">
                  <c:v>Green 11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ChartsDataSheet!$BUR$98:$BUR$99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ChartsDataSheet!$BUR$100:$BUR$101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2DE-401B-B3B3-A60054A89C99}"/>
            </c:ext>
          </c:extLst>
        </c:ser>
        <c:ser>
          <c:idx val="25"/>
          <c:order val="25"/>
          <c:tx>
            <c:strRef>
              <c:f>ChartsDataSheet!$BUS$97</c:f>
              <c:strCache>
                <c:ptCount val="1"/>
                <c:pt idx="0">
                  <c:v>Green 12</c:v>
                </c:pt>
              </c:strCache>
            </c:strRef>
          </c:tx>
          <c:spPr>
            <a:ln w="38100" cap="rnd" cmpd="sng">
              <a:solidFill>
                <a:srgbClr val="92D05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ChartsDataSheet!$BUS$98:$BUS$99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ChartsDataSheet!$BUS$100:$BUS$101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2DE-401B-B3B3-A60054A89C99}"/>
            </c:ext>
          </c:extLst>
        </c:ser>
        <c:ser>
          <c:idx val="26"/>
          <c:order val="26"/>
          <c:tx>
            <c:strRef>
              <c:f>ChartsDataSheet!$BUH$103</c:f>
              <c:strCache>
                <c:ptCount val="1"/>
                <c:pt idx="0">
                  <c:v>Red 1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ChartsDataSheet!$BUH$104:$BUH$105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ChartsDataSheet!$BUH$106:$BUH$107</c:f>
              <c:numCache>
                <c:formatCode>General</c:formatCode>
                <c:ptCount val="2"/>
                <c:pt idx="0">
                  <c:v>4501</c:v>
                </c:pt>
                <c:pt idx="1">
                  <c:v>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2DE-401B-B3B3-A60054A89C99}"/>
            </c:ext>
          </c:extLst>
        </c:ser>
        <c:ser>
          <c:idx val="27"/>
          <c:order val="27"/>
          <c:tx>
            <c:strRef>
              <c:f>ChartsDataSheet!$BUI$103</c:f>
              <c:strCache>
                <c:ptCount val="1"/>
                <c:pt idx="0">
                  <c:v>Red 2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ChartsDataSheet!$BUI$104:$BUI$105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ChartsDataSheet!$BUI$106:$BUI$107</c:f>
              <c:numCache>
                <c:formatCode>General</c:formatCode>
                <c:ptCount val="2"/>
                <c:pt idx="0">
                  <c:v>4800</c:v>
                </c:pt>
                <c:pt idx="1">
                  <c:v>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2DE-401B-B3B3-A60054A89C99}"/>
            </c:ext>
          </c:extLst>
        </c:ser>
        <c:ser>
          <c:idx val="28"/>
          <c:order val="28"/>
          <c:tx>
            <c:strRef>
              <c:f>ChartsDataSheet!$BUJ$103</c:f>
              <c:strCache>
                <c:ptCount val="1"/>
                <c:pt idx="0">
                  <c:v>Red 3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ChartsDataSheet!$BUJ$104:$BUJ$105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ChartsDataSheet!$BUJ$106:$BUJ$107</c:f>
              <c:numCache>
                <c:formatCode>General</c:formatCode>
                <c:ptCount val="2"/>
                <c:pt idx="0">
                  <c:v>4300</c:v>
                </c:pt>
                <c:pt idx="1">
                  <c:v>3040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2DE-401B-B3B3-A60054A89C99}"/>
            </c:ext>
          </c:extLst>
        </c:ser>
        <c:ser>
          <c:idx val="29"/>
          <c:order val="29"/>
          <c:tx>
            <c:strRef>
              <c:f>ChartsDataSheet!$BUK$103</c:f>
              <c:strCache>
                <c:ptCount val="1"/>
                <c:pt idx="0">
                  <c:v>Red 4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ChartsDataSheet!$BUK$104:$BUK$105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ChartsDataSheet!$BUK$106:$BUK$107</c:f>
              <c:numCache>
                <c:formatCode>General</c:formatCode>
                <c:ptCount val="2"/>
                <c:pt idx="0">
                  <c:v>5100</c:v>
                </c:pt>
                <c:pt idx="1">
                  <c:v>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2DE-401B-B3B3-A60054A89C99}"/>
            </c:ext>
          </c:extLst>
        </c:ser>
        <c:ser>
          <c:idx val="30"/>
          <c:order val="30"/>
          <c:tx>
            <c:strRef>
              <c:f>ChartsDataSheet!$BUL$103</c:f>
              <c:strCache>
                <c:ptCount val="1"/>
                <c:pt idx="0">
                  <c:v>Red 5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ChartsDataSheet!$BUL$104:$BUL$105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ChartsDataSheet!$BUL$106:$BUL$107</c:f>
              <c:numCache>
                <c:formatCode>General</c:formatCode>
                <c:ptCount val="2"/>
                <c:pt idx="0">
                  <c:v>4800</c:v>
                </c:pt>
                <c:pt idx="1">
                  <c:v>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2DE-401B-B3B3-A60054A89C99}"/>
            </c:ext>
          </c:extLst>
        </c:ser>
        <c:ser>
          <c:idx val="31"/>
          <c:order val="31"/>
          <c:tx>
            <c:strRef>
              <c:f>ChartsDataSheet!$BUM$103</c:f>
              <c:strCache>
                <c:ptCount val="1"/>
                <c:pt idx="0">
                  <c:v>Red 6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ChartsDataSheet!$BUM$104:$BUM$105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xVal>
          <c:yVal>
            <c:numRef>
              <c:f>ChartsDataSheet!$BUM$106:$BUM$107</c:f>
              <c:numCache>
                <c:formatCode>General</c:formatCode>
                <c:ptCount val="2"/>
                <c:pt idx="0">
                  <c:v>5200</c:v>
                </c:pt>
                <c:pt idx="1">
                  <c:v>2993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2DE-401B-B3B3-A60054A89C99}"/>
            </c:ext>
          </c:extLst>
        </c:ser>
        <c:ser>
          <c:idx val="32"/>
          <c:order val="32"/>
          <c:tx>
            <c:strRef>
              <c:f>ChartsDataSheet!$BUN$103</c:f>
              <c:strCache>
                <c:ptCount val="1"/>
                <c:pt idx="0">
                  <c:v>Red 7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ChartsDataSheet!$BUN$104:$BUN$105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xVal>
          <c:yVal>
            <c:numRef>
              <c:f>ChartsDataSheet!$BUN$106:$BUN$107</c:f>
              <c:numCache>
                <c:formatCode>General</c:formatCode>
                <c:ptCount val="2"/>
                <c:pt idx="0">
                  <c:v>5100</c:v>
                </c:pt>
                <c:pt idx="1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2DE-401B-B3B3-A60054A89C99}"/>
            </c:ext>
          </c:extLst>
        </c:ser>
        <c:ser>
          <c:idx val="33"/>
          <c:order val="33"/>
          <c:tx>
            <c:strRef>
              <c:f>ChartsDataSheet!$BUO$103</c:f>
              <c:strCache>
                <c:ptCount val="1"/>
                <c:pt idx="0">
                  <c:v>Red 8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ChartsDataSheet!$BUO$104:$BUO$105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ChartsDataSheet!$BUO$106:$BUO$107</c:f>
              <c:numCache>
                <c:formatCode>General</c:formatCode>
                <c:ptCount val="2"/>
                <c:pt idx="0">
                  <c:v>4100</c:v>
                </c:pt>
                <c:pt idx="1">
                  <c:v>3087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2DE-401B-B3B3-A60054A89C99}"/>
            </c:ext>
          </c:extLst>
        </c:ser>
        <c:ser>
          <c:idx val="34"/>
          <c:order val="34"/>
          <c:tx>
            <c:strRef>
              <c:f>ChartsDataSheet!$BUP$103</c:f>
              <c:strCache>
                <c:ptCount val="1"/>
                <c:pt idx="0">
                  <c:v>Red 9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ChartsDataSheet!$BUP$104:$BUP$105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xVal>
          <c:yVal>
            <c:numRef>
              <c:f>ChartsDataSheet!$BUP$106:$BUP$107</c:f>
              <c:numCache>
                <c:formatCode>General</c:formatCode>
                <c:ptCount val="2"/>
                <c:pt idx="0">
                  <c:v>5200</c:v>
                </c:pt>
                <c:pt idx="1">
                  <c:v>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2DE-401B-B3B3-A60054A89C99}"/>
            </c:ext>
          </c:extLst>
        </c:ser>
        <c:ser>
          <c:idx val="35"/>
          <c:order val="35"/>
          <c:tx>
            <c:strRef>
              <c:f>ChartsDataSheet!$BUQ$103</c:f>
              <c:strCache>
                <c:ptCount val="1"/>
                <c:pt idx="0">
                  <c:v>Red 10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ChartsDataSheet!$BUQ$104:$BUQ$105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ChartsDataSheet!$BUQ$106:$BUQ$107</c:f>
              <c:numCache>
                <c:formatCode>General</c:formatCode>
                <c:ptCount val="2"/>
                <c:pt idx="0">
                  <c:v>5184</c:v>
                </c:pt>
                <c:pt idx="1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2DE-401B-B3B3-A60054A89C99}"/>
            </c:ext>
          </c:extLst>
        </c:ser>
        <c:ser>
          <c:idx val="36"/>
          <c:order val="36"/>
          <c:tx>
            <c:strRef>
              <c:f>ChartsDataSheet!$BUR$103</c:f>
              <c:strCache>
                <c:ptCount val="1"/>
                <c:pt idx="0">
                  <c:v>Red 11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ChartsDataSheet!$BUR$104:$BUR$105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xVal>
          <c:yVal>
            <c:numRef>
              <c:f>ChartsDataSheet!$BUR$106:$BUR$107</c:f>
              <c:numCache>
                <c:formatCode>General</c:formatCode>
                <c:ptCount val="2"/>
                <c:pt idx="0">
                  <c:v>4800</c:v>
                </c:pt>
                <c:pt idx="1">
                  <c:v>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2DE-401B-B3B3-A60054A89C99}"/>
            </c:ext>
          </c:extLst>
        </c:ser>
        <c:ser>
          <c:idx val="37"/>
          <c:order val="37"/>
          <c:tx>
            <c:strRef>
              <c:f>ChartsDataSheet!$BUS$103</c:f>
              <c:strCache>
                <c:ptCount val="1"/>
                <c:pt idx="0">
                  <c:v>Red 12</c:v>
                </c:pt>
              </c:strCache>
            </c:strRef>
          </c:tx>
          <c:spPr>
            <a:ln w="25400" cap="rnd" cmpd="sng">
              <a:solidFill>
                <a:srgbClr val="FF0000"/>
              </a:solidFill>
              <a:prstDash val="solid"/>
              <a:tailEnd type="triangle"/>
            </a:ln>
          </c:spPr>
          <c:marker>
            <c:symbol val="none"/>
          </c:marker>
          <c:xVal>
            <c:numRef>
              <c:f>ChartsDataSheet!$BUS$104:$BUS$105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xVal>
          <c:yVal>
            <c:numRef>
              <c:f>ChartsDataSheet!$BUS$106:$BUS$107</c:f>
              <c:numCache>
                <c:formatCode>General</c:formatCode>
                <c:ptCount val="2"/>
                <c:pt idx="0">
                  <c:v>4625</c:v>
                </c:pt>
                <c:pt idx="1">
                  <c:v>2668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2DE-401B-B3B3-A60054A89C99}"/>
            </c:ext>
          </c:extLst>
        </c:ser>
        <c:ser>
          <c:idx val="38"/>
          <c:order val="38"/>
          <c:tx>
            <c:strRef>
              <c:f>ChartsDataSheet!$BUH$118</c:f>
              <c:strCache>
                <c:ptCount val="1"/>
                <c:pt idx="0">
                  <c:v>Var 1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ChartsDataSheet!$BUH$121</c:f>
                  <c:strCache>
                    <c:ptCount val="1"/>
                    <c:pt idx="0">
                      <c:v>-1.500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{62DF0680-9BF5-41D4-9982-FAF5381BA6D3}</c15:txfldGUID>
                      <c15:f>ChartsDataSheet!$BUH$121</c15:f>
                      <c15:dlblFieldTableCache>
                        <c:ptCount val="1"/>
                        <c:pt idx="0">
                          <c:v>-1.500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4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ChartsDataSheet!$BUH$119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ChartsDataSheet!$BUH$120</c:f>
              <c:numCache>
                <c:formatCode>"+"#,##0;"-"#,##0</c:formatCode>
                <c:ptCount val="1"/>
                <c:pt idx="0">
                  <c:v>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2DE-401B-B3B3-A60054A89C99}"/>
            </c:ext>
          </c:extLst>
        </c:ser>
        <c:ser>
          <c:idx val="39"/>
          <c:order val="39"/>
          <c:tx>
            <c:strRef>
              <c:f>ChartsDataSheet!$BUI$118</c:f>
              <c:strCache>
                <c:ptCount val="1"/>
                <c:pt idx="0">
                  <c:v>Var 2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ChartsDataSheet!$BUI$121</c:f>
                  <c:strCache>
                    <c:ptCount val="1"/>
                    <c:pt idx="0">
                      <c:v>-1.741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{DD494F32-5303-43A0-9AAA-8E4B4A6F1C28}</c15:txfldGUID>
                      <c15:f>ChartsDataSheet!$BUI$121</c15:f>
                      <c15:dlblFieldTableCache>
                        <c:ptCount val="1"/>
                        <c:pt idx="0">
                          <c:v>-1.741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6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ChartsDataSheet!$BUI$119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ChartsDataSheet!$BUI$120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2DE-401B-B3B3-A60054A89C99}"/>
            </c:ext>
          </c:extLst>
        </c:ser>
        <c:ser>
          <c:idx val="40"/>
          <c:order val="40"/>
          <c:tx>
            <c:strRef>
              <c:f>ChartsDataSheet!$BUJ$118</c:f>
              <c:strCache>
                <c:ptCount val="1"/>
                <c:pt idx="0">
                  <c:v>Var 3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ChartsDataSheet!$BUJ$121</c:f>
                  <c:strCache>
                    <c:ptCount val="1"/>
                    <c:pt idx="0">
                      <c:v>-1.260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{5799F433-00D1-4E7B-9CB0-D9A1A4E32E1C}</c15:txfldGUID>
                      <c15:f>ChartsDataSheet!$BUJ$121</c15:f>
                      <c15:dlblFieldTableCache>
                        <c:ptCount val="1"/>
                        <c:pt idx="0">
                          <c:v>-1.260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8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ChartsDataSheet!$BUJ$119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ChartsDataSheet!$BUJ$120</c:f>
              <c:numCache>
                <c:formatCode>"+"#,##0;"-"#,##0</c:formatCode>
                <c:ptCount val="1"/>
                <c:pt idx="0">
                  <c:v>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2DE-401B-B3B3-A60054A89C99}"/>
            </c:ext>
          </c:extLst>
        </c:ser>
        <c:ser>
          <c:idx val="41"/>
          <c:order val="41"/>
          <c:tx>
            <c:strRef>
              <c:f>ChartsDataSheet!$BUK$118</c:f>
              <c:strCache>
                <c:ptCount val="1"/>
                <c:pt idx="0">
                  <c:v>Var 4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ChartsDataSheet!$BUK$121</c:f>
                  <c:strCache>
                    <c:ptCount val="1"/>
                    <c:pt idx="0">
                      <c:v>-2.126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{FE8892ED-D684-4AC9-A147-D46F678523BE}</c15:txfldGUID>
                      <c15:f>ChartsDataSheet!$BUK$121</c15:f>
                      <c15:dlblFieldTableCache>
                        <c:ptCount val="1"/>
                        <c:pt idx="0">
                          <c:v>-2.126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A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ChartsDataSheet!$BUK$119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ChartsDataSheet!$BUK$120</c:f>
              <c:numCache>
                <c:formatCode>"+"#,##0;"-"#,##0</c:formatCode>
                <c:ptCount val="1"/>
                <c:pt idx="0">
                  <c:v>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2DE-401B-B3B3-A60054A89C99}"/>
            </c:ext>
          </c:extLst>
        </c:ser>
        <c:ser>
          <c:idx val="42"/>
          <c:order val="42"/>
          <c:tx>
            <c:strRef>
              <c:f>ChartsDataSheet!$BUL$118</c:f>
              <c:strCache>
                <c:ptCount val="1"/>
                <c:pt idx="0">
                  <c:v>Var 5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ChartsDataSheet!$BUL$121</c:f>
                  <c:strCache>
                    <c:ptCount val="1"/>
                    <c:pt idx="0">
                      <c:v>-1.821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{3757F76F-349D-4206-9345-E72BA499289C}</c15:txfldGUID>
                      <c15:f>ChartsDataSheet!$BUL$121</c15:f>
                      <c15:dlblFieldTableCache>
                        <c:ptCount val="1"/>
                        <c:pt idx="0">
                          <c:v>-1.821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C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ChartsDataSheet!$BUL$119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ChartsDataSheet!$BUL$120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2DE-401B-B3B3-A60054A89C99}"/>
            </c:ext>
          </c:extLst>
        </c:ser>
        <c:ser>
          <c:idx val="43"/>
          <c:order val="43"/>
          <c:tx>
            <c:strRef>
              <c:f>ChartsDataSheet!$BUM$118</c:f>
              <c:strCache>
                <c:ptCount val="1"/>
                <c:pt idx="0">
                  <c:v>Var 6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ChartsDataSheet!$BUM$121</c:f>
                  <c:strCache>
                    <c:ptCount val="1"/>
                    <c:pt idx="0">
                      <c:v>-2.207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{6E151104-48F4-4017-85A4-153FF2E0C41A}</c15:txfldGUID>
                      <c15:f>ChartsDataSheet!$BUM$121</c15:f>
                      <c15:dlblFieldTableCache>
                        <c:ptCount val="1"/>
                        <c:pt idx="0">
                          <c:v>-2.207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3E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ChartsDataSheet!$BUM$119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ChartsDataSheet!$BUM$120</c:f>
              <c:numCache>
                <c:formatCode>"+"#,##0;"-"#,##0</c:formatCode>
                <c:ptCount val="1"/>
                <c:pt idx="0">
                  <c:v>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2DE-401B-B3B3-A60054A89C99}"/>
            </c:ext>
          </c:extLst>
        </c:ser>
        <c:ser>
          <c:idx val="44"/>
          <c:order val="44"/>
          <c:tx>
            <c:strRef>
              <c:f>ChartsDataSheet!$BUN$118</c:f>
              <c:strCache>
                <c:ptCount val="1"/>
                <c:pt idx="0">
                  <c:v>Var 7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ChartsDataSheet!$BUN$121</c:f>
                  <c:strCache>
                    <c:ptCount val="1"/>
                    <c:pt idx="0">
                      <c:v>-2.080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{86F77982-626A-40CE-8017-DC2968D035FF}</c15:txfldGUID>
                      <c15:f>ChartsDataSheet!$BUN$121</c15:f>
                      <c15:dlblFieldTableCache>
                        <c:ptCount val="1"/>
                        <c:pt idx="0">
                          <c:v>-2.080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0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ChartsDataSheet!$BUN$119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ChartsDataSheet!$BUN$120</c:f>
              <c:numCache>
                <c:formatCode>"+"#,##0;"-"#,##0</c:formatCode>
                <c:ptCount val="1"/>
                <c:pt idx="0">
                  <c:v>5100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2DE-401B-B3B3-A60054A89C99}"/>
            </c:ext>
          </c:extLst>
        </c:ser>
        <c:ser>
          <c:idx val="45"/>
          <c:order val="45"/>
          <c:tx>
            <c:strRef>
              <c:f>ChartsDataSheet!$BUO$118</c:f>
              <c:strCache>
                <c:ptCount val="1"/>
                <c:pt idx="0">
                  <c:v>Var 8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ChartsDataSheet!$BUO$121</c:f>
                  <c:strCache>
                    <c:ptCount val="1"/>
                    <c:pt idx="0">
                      <c:v>-1.013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{A28B9FE5-6852-4DCF-8463-F500BC32BE45}</c15:txfldGUID>
                      <c15:f>ChartsDataSheet!$BUO$121</c15:f>
                      <c15:dlblFieldTableCache>
                        <c:ptCount val="1"/>
                        <c:pt idx="0">
                          <c:v>-1.013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2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ChartsDataSheet!$BUO$119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ChartsDataSheet!$BUO$120</c:f>
              <c:numCache>
                <c:formatCode>"+"#,##0;"-"#,##0</c:formatCode>
                <c:ptCount val="1"/>
                <c:pt idx="0">
                  <c:v>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2DE-401B-B3B3-A60054A89C99}"/>
            </c:ext>
          </c:extLst>
        </c:ser>
        <c:ser>
          <c:idx val="46"/>
          <c:order val="46"/>
          <c:tx>
            <c:strRef>
              <c:f>ChartsDataSheet!$BUP$118</c:f>
              <c:strCache>
                <c:ptCount val="1"/>
                <c:pt idx="0">
                  <c:v>Var 9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ChartsDataSheet!$BUP$121</c:f>
                  <c:strCache>
                    <c:ptCount val="1"/>
                    <c:pt idx="0">
                      <c:v>-1.936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{5532733B-0B2A-43CF-A219-A0CF388092F7}</c15:txfldGUID>
                      <c15:f>ChartsDataSheet!$BUP$121</c15:f>
                      <c15:dlblFieldTableCache>
                        <c:ptCount val="1"/>
                        <c:pt idx="0">
                          <c:v>-1.936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4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ChartsDataSheet!$BUP$119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ChartsDataSheet!$BUP$120</c:f>
              <c:numCache>
                <c:formatCode>"+"#,##0;"-"#,##0</c:formatCode>
                <c:ptCount val="1"/>
                <c:pt idx="0">
                  <c:v>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2DE-401B-B3B3-A60054A89C99}"/>
            </c:ext>
          </c:extLst>
        </c:ser>
        <c:ser>
          <c:idx val="47"/>
          <c:order val="47"/>
          <c:tx>
            <c:strRef>
              <c:f>ChartsDataSheet!$BUQ$118</c:f>
              <c:strCache>
                <c:ptCount val="1"/>
                <c:pt idx="0">
                  <c:v>Var 10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ChartsDataSheet!$BUQ$121</c:f>
                  <c:strCache>
                    <c:ptCount val="1"/>
                    <c:pt idx="0">
                      <c:v>-2.245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{CF5BFBE2-5F9C-4D14-AFBD-3E8532F0D455}</c15:txfldGUID>
                      <c15:f>ChartsDataSheet!$BUQ$121</c15:f>
                      <c15:dlblFieldTableCache>
                        <c:ptCount val="1"/>
                        <c:pt idx="0">
                          <c:v>-2.245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6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ChartsDataSheet!$BUQ$119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ChartsDataSheet!$BUQ$120</c:f>
              <c:numCache>
                <c:formatCode>"+"#,##0;"-"#,##0</c:formatCode>
                <c:ptCount val="1"/>
                <c:pt idx="0">
                  <c:v>5184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2DE-401B-B3B3-A60054A89C99}"/>
            </c:ext>
          </c:extLst>
        </c:ser>
        <c:ser>
          <c:idx val="48"/>
          <c:order val="48"/>
          <c:tx>
            <c:strRef>
              <c:f>ChartsDataSheet!$BUR$118</c:f>
              <c:strCache>
                <c:ptCount val="1"/>
                <c:pt idx="0">
                  <c:v>Var 11</c:v>
                </c:pt>
              </c:strCache>
            </c:strRef>
          </c:tx>
          <c:spPr>
            <a:ln w="635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ChartsDataSheet!$BUR$121</c:f>
                  <c:strCache>
                    <c:ptCount val="1"/>
                    <c:pt idx="0">
                      <c:v>-2.006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{FBF3D34D-4D12-45CE-B30E-A2E9D2349DBA}</c15:txfldGUID>
                      <c15:f>ChartsDataSheet!$BUR$121</c15:f>
                      <c15:dlblFieldTableCache>
                        <c:ptCount val="1"/>
                        <c:pt idx="0">
                          <c:v>-2.006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8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ChartsDataSheet!$BUR$119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ChartsDataSheet!$BUR$120</c:f>
              <c:numCache>
                <c:formatCode>"+"#,##0;"-"#,##0</c:formatCode>
                <c:ptCount val="1"/>
                <c:pt idx="0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2DE-401B-B3B3-A60054A89C99}"/>
            </c:ext>
          </c:extLst>
        </c:ser>
        <c:ser>
          <c:idx val="49"/>
          <c:order val="49"/>
          <c:tx>
            <c:strRef>
              <c:f>ChartsDataSheet!$BUS$118</c:f>
              <c:strCache>
                <c:ptCount val="1"/>
                <c:pt idx="0">
                  <c:v>Var 12</c:v>
                </c:pt>
              </c:strCache>
            </c:strRef>
          </c:tx>
          <c:spPr>
            <a:ln w="38100" cmpd="sng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strRef>
                  <c:f>ChartsDataSheet!$BUS$121</c:f>
                  <c:strCache>
                    <c:ptCount val="1"/>
                    <c:pt idx="0">
                      <c:v>-1.957 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{8E761D29-A8AE-410D-98D6-C66BDD466DDC}</c15:txfldGUID>
                      <c15:f>ChartsDataSheet!$BUS$121</c15:f>
                      <c15:dlblFieldTableCache>
                        <c:ptCount val="1"/>
                        <c:pt idx="0">
                          <c:v>-1.957 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4A-C2DE-401B-B3B3-A60054A89C9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ChartsDataSheet!$BUS$119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ChartsDataSheet!$BUS$120</c:f>
              <c:numCache>
                <c:formatCode>"+"#,##0;"-"#,##0</c:formatCode>
                <c:ptCount val="1"/>
                <c:pt idx="0">
                  <c:v>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2DE-401B-B3B3-A60054A8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339376"/>
        <c:axId val="507339048"/>
      </c:scatterChart>
      <c:catAx>
        <c:axId val="50733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7339048"/>
        <c:crosses val="autoZero"/>
        <c:auto val="1"/>
        <c:lblAlgn val="ctr"/>
        <c:lblOffset val="0"/>
        <c:noMultiLvlLbl val="0"/>
      </c:catAx>
      <c:valAx>
        <c:axId val="507339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0733937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4.8859274098778972E-2"/>
          <c:y val="5.505631350491566E-2"/>
          <c:w val="0.95114072590122101"/>
          <c:h val="0.94494368649508431"/>
        </c:manualLayout>
      </c:layout>
      <c:barChart>
        <c:barDir val="col"/>
        <c:grouping val="clustered"/>
        <c:varyColors val="0"/>
        <c:ser>
          <c:idx val="0"/>
          <c:order val="0"/>
          <c:tx>
            <c:v>Start - End</c:v>
          </c:tx>
          <c:spPr>
            <a:solidFill>
              <a:srgbClr val="BFBFBF"/>
            </a:solidFill>
            <a:ln>
              <a:solidFill>
                <a:srgbClr val="80808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 i="0" baseline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Statement!$C$4:$C$10</c:f>
              <c:strCache>
                <c:ptCount val="7"/>
                <c:pt idx="0">
                  <c:v>Toplam Gelir</c:v>
                </c:pt>
                <c:pt idx="1">
                  <c:v>Satılan Malların Maliyeti</c:v>
                </c:pt>
                <c:pt idx="2">
                  <c:v>Brüt Kar</c:v>
                </c:pt>
                <c:pt idx="3">
                  <c:v>Toplam Faaliyet Giderleri  </c:v>
                </c:pt>
                <c:pt idx="4">
                  <c:v>Faaliyet Karı (EBIT)</c:v>
                </c:pt>
                <c:pt idx="5">
                  <c:v>Vergiler</c:v>
                </c:pt>
                <c:pt idx="6">
                  <c:v>Net Kâr   </c:v>
                </c:pt>
              </c:strCache>
            </c:strRef>
          </c:cat>
          <c:val>
            <c:numRef>
              <c:f>ChartsDataSheet!$BYG$2:$BYG$8</c:f>
              <c:numCache>
                <c:formatCode>General</c:formatCode>
                <c:ptCount val="7"/>
                <c:pt idx="0">
                  <c:v>5100</c:v>
                </c:pt>
                <c:pt idx="6">
                  <c:v>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8-4878-9FAE-E4A44F43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54485696"/>
        <c:axId val="454486352"/>
      </c:barChart>
      <c:lineChart>
        <c:grouping val="standard"/>
        <c:varyColors val="0"/>
        <c:ser>
          <c:idx val="1"/>
          <c:order val="1"/>
          <c:tx>
            <c:v>Before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val>
            <c:numRef>
              <c:f>ChartsDataSheet!$BYH$2:$BYH$8</c:f>
              <c:numCache>
                <c:formatCode>General</c:formatCode>
                <c:ptCount val="7"/>
                <c:pt idx="1">
                  <c:v>5100</c:v>
                </c:pt>
                <c:pt idx="2">
                  <c:v>3848</c:v>
                </c:pt>
                <c:pt idx="3">
                  <c:v>7696</c:v>
                </c:pt>
                <c:pt idx="4">
                  <c:v>5974</c:v>
                </c:pt>
                <c:pt idx="5">
                  <c:v>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8-4878-9FAE-E4A44F43A403}"/>
            </c:ext>
          </c:extLst>
        </c:ser>
        <c:ser>
          <c:idx val="2"/>
          <c:order val="2"/>
          <c:tx>
            <c:v>After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val>
            <c:numRef>
              <c:f>ChartsDataSheet!$BYI$2:$BYI$8</c:f>
              <c:numCache>
                <c:formatCode>General</c:formatCode>
                <c:ptCount val="7"/>
                <c:pt idx="1">
                  <c:v>3848</c:v>
                </c:pt>
                <c:pt idx="2">
                  <c:v>7696</c:v>
                </c:pt>
                <c:pt idx="3">
                  <c:v>5974</c:v>
                </c:pt>
                <c:pt idx="4">
                  <c:v>8100</c:v>
                </c:pt>
                <c:pt idx="5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8-4878-9FAE-E4A44F43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rgbClr val="01B1A3"/>
              </a:solidFill>
              <a:ln w="9525" cap="flat" cmpd="sng" algn="ctr">
                <a:solidFill>
                  <a:srgbClr val="808080"/>
                </a:solidFill>
                <a:prstDash val="solid"/>
                <a:round/>
              </a:ln>
              <a:effectLst/>
            </c:spPr>
          </c:upBars>
          <c:downBars>
            <c:spPr>
              <a:solidFill>
                <a:srgbClr val="FB5A56"/>
              </a:solidFill>
              <a:ln w="9525" cap="flat" cmpd="sng" algn="ctr">
                <a:solidFill>
                  <a:srgbClr val="808080"/>
                </a:solidFill>
                <a:prstDash val="solid"/>
                <a:round/>
              </a:ln>
              <a:effectLst/>
            </c:spPr>
          </c:downBars>
        </c:upDownBars>
        <c:marker val="1"/>
        <c:smooth val="0"/>
        <c:axId val="454485696"/>
        <c:axId val="454486352"/>
      </c:lineChart>
      <c:scatterChart>
        <c:scatterStyle val="lineMarker"/>
        <c:varyColors val="0"/>
        <c:ser>
          <c:idx val="3"/>
          <c:order val="3"/>
          <c:tx>
            <c:v>Data label position</c:v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248-4878-9FAE-E4A44F43A4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E7190D-884E-4DCD-8370-C38258935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248-4878-9FAE-E4A44F43A4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BE8022-8D4D-4481-AC5B-3972A5193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248-4878-9FAE-E4A44F43A4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B539831-DFFF-4F56-9A66-910DBF9FF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248-4878-9FAE-E4A44F43A4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6E377C-3EE6-4EE7-AB89-24FEE640F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248-4878-9FAE-E4A44F43A4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FCF59A-1C23-4FB5-987E-4AF2FE275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248-4878-9FAE-E4A44F43A4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248-4878-9FAE-E4A44F43A40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yVal>
            <c:numRef>
              <c:f>ChartsDataSheet!$BYJ$2:$BYJ$8</c:f>
              <c:numCache>
                <c:formatCode>General</c:formatCode>
                <c:ptCount val="7"/>
                <c:pt idx="1">
                  <c:v>5100</c:v>
                </c:pt>
                <c:pt idx="2">
                  <c:v>7696</c:v>
                </c:pt>
                <c:pt idx="3">
                  <c:v>7696</c:v>
                </c:pt>
                <c:pt idx="4">
                  <c:v>8100</c:v>
                </c:pt>
                <c:pt idx="5">
                  <c:v>8100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ChartsDataSheet!$BYE$2:$BYE$8</c15:f>
                <c15:dlblRangeCache>
                  <c:ptCount val="7"/>
                  <c:pt idx="0">
                    <c:v>+5.100</c:v>
                  </c:pt>
                  <c:pt idx="1">
                    <c:v>-1.252</c:v>
                  </c:pt>
                  <c:pt idx="2">
                    <c:v>+3.848</c:v>
                  </c:pt>
                  <c:pt idx="3">
                    <c:v>-1.722</c:v>
                  </c:pt>
                  <c:pt idx="4">
                    <c:v>+2.126</c:v>
                  </c:pt>
                  <c:pt idx="5">
                    <c:v>-777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248-4878-9FAE-E4A44F43A403}"/>
            </c:ext>
          </c:extLst>
        </c:ser>
        <c:ser>
          <c:idx val="4"/>
          <c:order val="4"/>
          <c:tx>
            <c:v>Cumulative</c:v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>
                <a:solidFill>
                  <a:srgbClr val="808080"/>
                </a:solidFill>
              </a:ln>
            </c:spPr>
          </c:errBars>
          <c:yVal>
            <c:numRef>
              <c:f>ChartsDataSheet!$BYF$2:$BYF$8</c:f>
              <c:numCache>
                <c:formatCode>General</c:formatCode>
                <c:ptCount val="7"/>
                <c:pt idx="0">
                  <c:v>5100</c:v>
                </c:pt>
                <c:pt idx="1">
                  <c:v>3848</c:v>
                </c:pt>
                <c:pt idx="2">
                  <c:v>7696</c:v>
                </c:pt>
                <c:pt idx="3">
                  <c:v>5974</c:v>
                </c:pt>
                <c:pt idx="4">
                  <c:v>8100</c:v>
                </c:pt>
                <c:pt idx="5">
                  <c:v>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48-4878-9FAE-E4A44F43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85696"/>
        <c:axId val="454486352"/>
      </c:scatterChart>
      <c:catAx>
        <c:axId val="4544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2700000" vert="horz"/>
          <a:lstStyle/>
          <a:p>
            <a:pPr>
              <a:defRPr/>
            </a:pPr>
            <a:endParaRPr lang="en-US"/>
          </a:p>
        </c:txPr>
        <c:crossAx val="454486352"/>
        <c:crosses val="autoZero"/>
        <c:auto val="1"/>
        <c:lblAlgn val="ctr"/>
        <c:lblOffset val="0"/>
        <c:noMultiLvlLbl val="0"/>
      </c:catAx>
      <c:valAx>
        <c:axId val="454486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5448569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2" fmlaLink="$X$10" fmlaRange="$Z$10:$Z$21" noThreeD="1" sel="4" val="0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image" Target="../media/image16.emf"/><Relationship Id="rId3" Type="http://schemas.openxmlformats.org/officeDocument/2006/relationships/chart" Target="../charts/chart3.xml"/><Relationship Id="rId21" Type="http://schemas.openxmlformats.org/officeDocument/2006/relationships/chart" Target="../charts/chart1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15.emf"/><Relationship Id="rId2" Type="http://schemas.openxmlformats.org/officeDocument/2006/relationships/chart" Target="../charts/chart2.xml"/><Relationship Id="rId16" Type="http://schemas.openxmlformats.org/officeDocument/2006/relationships/image" Target="../media/image14.emf"/><Relationship Id="rId20" Type="http://schemas.openxmlformats.org/officeDocument/2006/relationships/image" Target="../media/image18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15.xml"/><Relationship Id="rId5" Type="http://schemas.openxmlformats.org/officeDocument/2006/relationships/chart" Target="../charts/chart5.xml"/><Relationship Id="rId15" Type="http://schemas.openxmlformats.org/officeDocument/2006/relationships/image" Target="../media/image13.emf"/><Relationship Id="rId23" Type="http://schemas.openxmlformats.org/officeDocument/2006/relationships/image" Target="../media/image20.emf"/><Relationship Id="rId10" Type="http://schemas.openxmlformats.org/officeDocument/2006/relationships/chart" Target="../charts/chart10.xml"/><Relationship Id="rId19" Type="http://schemas.openxmlformats.org/officeDocument/2006/relationships/image" Target="../media/image17.emf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2.emf"/><Relationship Id="rId22" Type="http://schemas.openxmlformats.org/officeDocument/2006/relationships/image" Target="../media/image19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8.emf"/><Relationship Id="rId3" Type="http://schemas.openxmlformats.org/officeDocument/2006/relationships/image" Target="../media/image23.emf"/><Relationship Id="rId7" Type="http://schemas.openxmlformats.org/officeDocument/2006/relationships/image" Target="../media/image27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6" Type="http://schemas.openxmlformats.org/officeDocument/2006/relationships/image" Target="../media/image26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Relationship Id="rId9" Type="http://schemas.openxmlformats.org/officeDocument/2006/relationships/image" Target="../media/image29.emf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121227</xdr:colOff>
      <xdr:row>21</xdr:row>
      <xdr:rowOff>205221</xdr:rowOff>
    </xdr:from>
    <xdr:to>
      <xdr:col>11</xdr:col>
      <xdr:colOff>736022</xdr:colOff>
      <xdr:row>28</xdr:row>
      <xdr:rowOff>144607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8659</xdr:colOff>
      <xdr:row>5</xdr:row>
      <xdr:rowOff>77931</xdr:rowOff>
    </xdr:from>
    <xdr:ext cx="4234295" cy="2234046"/>
    <xdr:sp macro="" textlink="">
      <xdr:nvSpPr>
        <xdr:cNvPr id="47" name="ZoneTexte 1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7403523" y="701386"/>
          <a:ext cx="4234295" cy="22340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10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</xdr:col>
      <xdr:colOff>0</xdr:colOff>
      <xdr:row>5</xdr:row>
      <xdr:rowOff>69272</xdr:rowOff>
    </xdr:from>
    <xdr:ext cx="4286250" cy="2234045"/>
    <xdr:sp macro="" textlink="">
      <xdr:nvSpPr>
        <xdr:cNvPr id="37" name="ZoneTexte 10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928688" y="688397"/>
          <a:ext cx="4286250" cy="2234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10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9</xdr:col>
      <xdr:colOff>593149</xdr:colOff>
      <xdr:row>16</xdr:row>
      <xdr:rowOff>258040</xdr:rowOff>
    </xdr:from>
    <xdr:ext cx="1009649" cy="569900"/>
    <xdr:sp macro="" textlink="Veriler!Q22">
      <xdr:nvSpPr>
        <xdr:cNvPr id="7" name="ZoneText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875194" y="3617767"/>
          <a:ext cx="1009649" cy="5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CB2FFE1-2A5F-4370-99AD-1002EAA5D6D2}" type="TxLink">
            <a:rPr lang="en-US" sz="28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98%</a:t>
          </a:fld>
          <a:endParaRPr lang="fr-CA" sz="2800" b="1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9</xdr:col>
      <xdr:colOff>531812</xdr:colOff>
      <xdr:row>24</xdr:row>
      <xdr:rowOff>7790</xdr:rowOff>
    </xdr:from>
    <xdr:ext cx="1009650" cy="535788"/>
    <xdr:sp macro="" textlink="Veriler!Q24">
      <xdr:nvSpPr>
        <xdr:cNvPr id="33" name="ZoneText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5818187" y="5217965"/>
          <a:ext cx="1009650" cy="535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DD7FB04E-26EA-408B-865A-771B03DE1128}" type="TxLink">
            <a:rPr lang="en-US" sz="2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81%</a:t>
          </a:fld>
          <a:endParaRPr lang="fr-CA" sz="2600" b="1">
            <a:solidFill>
              <a:schemeClr val="tx1">
                <a:lumMod val="75000"/>
                <a:lumOff val="2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1</xdr:col>
      <xdr:colOff>450272</xdr:colOff>
      <xdr:row>17</xdr:row>
      <xdr:rowOff>34636</xdr:rowOff>
    </xdr:from>
    <xdr:to>
      <xdr:col>3</xdr:col>
      <xdr:colOff>251113</xdr:colOff>
      <xdr:row>18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381001</xdr:colOff>
      <xdr:row>17</xdr:row>
      <xdr:rowOff>8658</xdr:rowOff>
    </xdr:from>
    <xdr:to>
      <xdr:col>7</xdr:col>
      <xdr:colOff>281421</xdr:colOff>
      <xdr:row>18</xdr:row>
      <xdr:rowOff>95250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363681</xdr:colOff>
      <xdr:row>16</xdr:row>
      <xdr:rowOff>259773</xdr:rowOff>
    </xdr:from>
    <xdr:to>
      <xdr:col>15</xdr:col>
      <xdr:colOff>381000</xdr:colOff>
      <xdr:row>18</xdr:row>
      <xdr:rowOff>277091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406976</xdr:colOff>
      <xdr:row>16</xdr:row>
      <xdr:rowOff>259773</xdr:rowOff>
    </xdr:from>
    <xdr:to>
      <xdr:col>19</xdr:col>
      <xdr:colOff>233795</xdr:colOff>
      <xdr:row>18</xdr:row>
      <xdr:rowOff>77932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415636</xdr:colOff>
      <xdr:row>23</xdr:row>
      <xdr:rowOff>268430</xdr:rowOff>
    </xdr:from>
    <xdr:to>
      <xdr:col>3</xdr:col>
      <xdr:colOff>238126</xdr:colOff>
      <xdr:row>25</xdr:row>
      <xdr:rowOff>280551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381000</xdr:colOff>
      <xdr:row>24</xdr:row>
      <xdr:rowOff>8660</xdr:rowOff>
    </xdr:from>
    <xdr:to>
      <xdr:col>7</xdr:col>
      <xdr:colOff>203489</xdr:colOff>
      <xdr:row>26</xdr:row>
      <xdr:rowOff>181841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467590</xdr:colOff>
      <xdr:row>23</xdr:row>
      <xdr:rowOff>259772</xdr:rowOff>
    </xdr:from>
    <xdr:to>
      <xdr:col>15</xdr:col>
      <xdr:colOff>290080</xdr:colOff>
      <xdr:row>26</xdr:row>
      <xdr:rowOff>164523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389661</xdr:colOff>
      <xdr:row>24</xdr:row>
      <xdr:rowOff>25975</xdr:rowOff>
    </xdr:from>
    <xdr:to>
      <xdr:col>19</xdr:col>
      <xdr:colOff>212150</xdr:colOff>
      <xdr:row>26</xdr:row>
      <xdr:rowOff>225135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17319</xdr:colOff>
      <xdr:row>5</xdr:row>
      <xdr:rowOff>86590</xdr:rowOff>
    </xdr:from>
    <xdr:to>
      <xdr:col>7</xdr:col>
      <xdr:colOff>510886</xdr:colOff>
      <xdr:row>13</xdr:row>
      <xdr:rowOff>233796</xdr:rowOff>
    </xdr:to>
    <xdr:graphicFrame macro="">
      <xdr:nvGraphicFramePr>
        <xdr:cNvPr id="46" name="WAT_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9</xdr:col>
      <xdr:colOff>2</xdr:colOff>
      <xdr:row>5</xdr:row>
      <xdr:rowOff>69272</xdr:rowOff>
    </xdr:from>
    <xdr:ext cx="2052204" cy="2225387"/>
    <xdr:sp macro="" textlink="">
      <xdr:nvSpPr>
        <xdr:cNvPr id="48" name="ZoneTexte 10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282047" y="692727"/>
          <a:ext cx="2052204" cy="222538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n-US" sz="10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twoCellAnchor>
    <xdr:from>
      <xdr:col>8</xdr:col>
      <xdr:colOff>8658</xdr:colOff>
      <xdr:row>14</xdr:row>
      <xdr:rowOff>216476</xdr:rowOff>
    </xdr:from>
    <xdr:to>
      <xdr:col>13</xdr:col>
      <xdr:colOff>51954</xdr:colOff>
      <xdr:row>21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121227</xdr:colOff>
      <xdr:row>5</xdr:row>
      <xdr:rowOff>60613</xdr:rowOff>
    </xdr:from>
    <xdr:to>
      <xdr:col>14</xdr:col>
      <xdr:colOff>48924</xdr:colOff>
      <xdr:row>13</xdr:row>
      <xdr:rowOff>150236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381001</xdr:colOff>
      <xdr:row>6</xdr:row>
      <xdr:rowOff>0</xdr:rowOff>
    </xdr:from>
    <xdr:to>
      <xdr:col>13</xdr:col>
      <xdr:colOff>499197</xdr:colOff>
      <xdr:row>13</xdr:row>
      <xdr:rowOff>34637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82826</xdr:colOff>
          <xdr:row>18</xdr:row>
          <xdr:rowOff>86591</xdr:rowOff>
        </xdr:from>
        <xdr:to>
          <xdr:col>2</xdr:col>
          <xdr:colOff>642420</xdr:colOff>
          <xdr:row>18</xdr:row>
          <xdr:rowOff>277091</xdr:rowOff>
        </xdr:to>
        <xdr:pic>
          <xdr:nvPicPr>
            <xdr:cNvPr id="67" name="Picture 66">
              <a:extLst>
                <a:ext uri="{FF2B5EF4-FFF2-40B4-BE49-F238E27FC236}">
                  <a16:creationId xmlns:a16="http://schemas.microsoft.com/office/drawing/2014/main" id="{00000000-0008-0000-0100-00004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4" spid="_x0000_s62379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1706217" y="4111939"/>
              <a:ext cx="559594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96982</xdr:colOff>
          <xdr:row>18</xdr:row>
          <xdr:rowOff>60614</xdr:rowOff>
        </xdr:from>
        <xdr:to>
          <xdr:col>6</xdr:col>
          <xdr:colOff>659173</xdr:colOff>
          <xdr:row>18</xdr:row>
          <xdr:rowOff>251114</xdr:rowOff>
        </xdr:to>
        <xdr:pic>
          <xdr:nvPicPr>
            <xdr:cNvPr id="68" name="Picture 67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7" spid="_x0000_s62380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3887932" y="4070639"/>
              <a:ext cx="562191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97849</xdr:colOff>
          <xdr:row>18</xdr:row>
          <xdr:rowOff>86591</xdr:rowOff>
        </xdr:from>
        <xdr:to>
          <xdr:col>14</xdr:col>
          <xdr:colOff>657443</xdr:colOff>
          <xdr:row>18</xdr:row>
          <xdr:rowOff>277091</xdr:rowOff>
        </xdr:to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11" spid="_x0000_s62381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8194099" y="4096616"/>
              <a:ext cx="559594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108239</xdr:colOff>
          <xdr:row>18</xdr:row>
          <xdr:rowOff>51955</xdr:rowOff>
        </xdr:from>
        <xdr:to>
          <xdr:col>18</xdr:col>
          <xdr:colOff>670430</xdr:colOff>
          <xdr:row>18</xdr:row>
          <xdr:rowOff>242455</xdr:rowOff>
        </xdr:to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12" spid="_x0000_s62382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10376189" y="4061980"/>
              <a:ext cx="562191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26</xdr:row>
          <xdr:rowOff>51954</xdr:rowOff>
        </xdr:from>
        <xdr:to>
          <xdr:col>2</xdr:col>
          <xdr:colOff>628867</xdr:colOff>
          <xdr:row>26</xdr:row>
          <xdr:rowOff>242454</xdr:rowOff>
        </xdr:to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00000000-0008-0000-0100-00004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5" spid="_x0000_s62383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1685925" y="5652654"/>
              <a:ext cx="562192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109106</xdr:colOff>
          <xdr:row>26</xdr:row>
          <xdr:rowOff>69273</xdr:rowOff>
        </xdr:from>
        <xdr:to>
          <xdr:col>6</xdr:col>
          <xdr:colOff>671297</xdr:colOff>
          <xdr:row>26</xdr:row>
          <xdr:rowOff>259773</xdr:rowOff>
        </xdr:to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8" spid="_x0000_s62384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3900056" y="5669973"/>
              <a:ext cx="562191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82262</xdr:colOff>
          <xdr:row>26</xdr:row>
          <xdr:rowOff>60614</xdr:rowOff>
        </xdr:from>
        <xdr:to>
          <xdr:col>14</xdr:col>
          <xdr:colOff>641856</xdr:colOff>
          <xdr:row>26</xdr:row>
          <xdr:rowOff>251114</xdr:rowOff>
        </xdr:to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00000000-0008-0000-0100-00004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9" spid="_x0000_s62385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8178512" y="5661314"/>
              <a:ext cx="559594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64941</xdr:colOff>
          <xdr:row>26</xdr:row>
          <xdr:rowOff>60614</xdr:rowOff>
        </xdr:from>
        <xdr:to>
          <xdr:col>18</xdr:col>
          <xdr:colOff>624535</xdr:colOff>
          <xdr:row>26</xdr:row>
          <xdr:rowOff>251114</xdr:rowOff>
        </xdr:to>
        <xdr:pic>
          <xdr:nvPicPr>
            <xdr:cNvPr id="76" name="Picture 75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10" spid="_x0000_s62386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10332891" y="5661314"/>
              <a:ext cx="559594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2</xdr:colOff>
      <xdr:row>5</xdr:row>
      <xdr:rowOff>43295</xdr:rowOff>
    </xdr:from>
    <xdr:to>
      <xdr:col>12</xdr:col>
      <xdr:colOff>43297</xdr:colOff>
      <xdr:row>13</xdr:row>
      <xdr:rowOff>329046</xdr:rowOff>
    </xdr:to>
    <xdr:graphicFrame macro="">
      <xdr:nvGraphicFramePr>
        <xdr:cNvPr id="78" name="RBC_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173182</xdr:colOff>
          <xdr:row>6</xdr:row>
          <xdr:rowOff>467591</xdr:rowOff>
        </xdr:from>
        <xdr:to>
          <xdr:col>11</xdr:col>
          <xdr:colOff>807893</xdr:colOff>
          <xdr:row>11</xdr:row>
          <xdr:rowOff>225137</xdr:rowOff>
        </xdr:to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00000000-0008-0000-0100-00005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N$38" spid="_x0000_s62387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5455227" y="1238250"/>
              <a:ext cx="1838325" cy="99579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77931</xdr:colOff>
          <xdr:row>10</xdr:row>
          <xdr:rowOff>1</xdr:rowOff>
        </xdr:from>
        <xdr:to>
          <xdr:col>11</xdr:col>
          <xdr:colOff>207818</xdr:colOff>
          <xdr:row>11</xdr:row>
          <xdr:rowOff>164523</xdr:rowOff>
        </xdr:to>
        <xdr:pic>
          <xdr:nvPicPr>
            <xdr:cNvPr id="82" name="Picture 81">
              <a:extLst>
                <a:ext uri="{FF2B5EF4-FFF2-40B4-BE49-F238E27FC236}">
                  <a16:creationId xmlns:a16="http://schemas.microsoft.com/office/drawing/2014/main" id="{00000000-0008-0000-0100-00005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!$G$15" spid="_x0000_s62388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6052704" y="1948296"/>
              <a:ext cx="640773" cy="22513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26</xdr:row>
      <xdr:rowOff>217343</xdr:rowOff>
    </xdr:from>
    <xdr:to>
      <xdr:col>4</xdr:col>
      <xdr:colOff>45438</xdr:colOff>
      <xdr:row>28</xdr:row>
      <xdr:rowOff>96542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923925" y="5818043"/>
          <a:ext cx="2131413" cy="34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25975</xdr:colOff>
      <xdr:row>5</xdr:row>
      <xdr:rowOff>8658</xdr:rowOff>
    </xdr:from>
    <xdr:to>
      <xdr:col>19</xdr:col>
      <xdr:colOff>571499</xdr:colOff>
      <xdr:row>13</xdr:row>
      <xdr:rowOff>268431</xdr:rowOff>
    </xdr:to>
    <xdr:graphicFrame macro="">
      <xdr:nvGraphicFramePr>
        <xdr:cNvPr id="43" name="VAH_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99060</xdr:colOff>
          <xdr:row>4</xdr:row>
          <xdr:rowOff>7620</xdr:rowOff>
        </xdr:from>
        <xdr:to>
          <xdr:col>22</xdr:col>
          <xdr:colOff>137160</xdr:colOff>
          <xdr:row>12</xdr:row>
          <xdr:rowOff>30480</xdr:rowOff>
        </xdr:to>
        <xdr:sp macro="" textlink="">
          <xdr:nvSpPr>
            <xdr:cNvPr id="62136" name="List Box 9912" hidden="1">
              <a:extLst>
                <a:ext uri="{63B3BB69-23CF-44E3-9099-C40C66FF867C}">
                  <a14:compatExt spid="_x0000_s62136"/>
                </a:ext>
                <a:ext uri="{FF2B5EF4-FFF2-40B4-BE49-F238E27FC236}">
                  <a16:creationId xmlns:a16="http://schemas.microsoft.com/office/drawing/2014/main" id="{00000000-0008-0000-0100-0000B8F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</xdr:colOff>
      <xdr:row>26</xdr:row>
      <xdr:rowOff>217343</xdr:rowOff>
    </xdr:from>
    <xdr:to>
      <xdr:col>8</xdr:col>
      <xdr:colOff>4617</xdr:colOff>
      <xdr:row>28</xdr:row>
      <xdr:rowOff>96542</xdr:rowOff>
    </xdr:to>
    <xdr:sp macro="" textlink="">
      <xdr:nvSpPr>
        <xdr:cNvPr id="45" name="TextBox 50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3095626" y="5818043"/>
          <a:ext cx="2128691" cy="34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830037</xdr:colOff>
      <xdr:row>26</xdr:row>
      <xdr:rowOff>217343</xdr:rowOff>
    </xdr:from>
    <xdr:to>
      <xdr:col>15</xdr:col>
      <xdr:colOff>671368</xdr:colOff>
      <xdr:row>28</xdr:row>
      <xdr:rowOff>96542</xdr:rowOff>
    </xdr:to>
    <xdr:sp macro="" textlink="">
      <xdr:nvSpPr>
        <xdr:cNvPr id="57" name="TextBox 50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7326087" y="5818043"/>
          <a:ext cx="2136856" cy="34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54430</xdr:colOff>
      <xdr:row>26</xdr:row>
      <xdr:rowOff>217343</xdr:rowOff>
    </xdr:from>
    <xdr:to>
      <xdr:col>20</xdr:col>
      <xdr:colOff>18225</xdr:colOff>
      <xdr:row>28</xdr:row>
      <xdr:rowOff>96542</xdr:rowOff>
    </xdr:to>
    <xdr:sp macro="" textlink="">
      <xdr:nvSpPr>
        <xdr:cNvPr id="60" name="TextBox 5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9541330" y="5818043"/>
          <a:ext cx="2135495" cy="34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0</xdr:colOff>
      <xdr:row>18</xdr:row>
      <xdr:rowOff>229178</xdr:rowOff>
    </xdr:from>
    <xdr:to>
      <xdr:col>4</xdr:col>
      <xdr:colOff>45438</xdr:colOff>
      <xdr:row>21</xdr:row>
      <xdr:rowOff>25134</xdr:rowOff>
    </xdr:to>
    <xdr:sp macro="" textlink="">
      <xdr:nvSpPr>
        <xdr:cNvPr id="61" name="TextBox 5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923925" y="4239203"/>
          <a:ext cx="2131413" cy="348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13607</xdr:colOff>
      <xdr:row>18</xdr:row>
      <xdr:rowOff>231128</xdr:rowOff>
    </xdr:from>
    <xdr:to>
      <xdr:col>8</xdr:col>
      <xdr:colOff>18223</xdr:colOff>
      <xdr:row>21</xdr:row>
      <xdr:rowOff>25134</xdr:rowOff>
    </xdr:to>
    <xdr:sp macro="" textlink="">
      <xdr:nvSpPr>
        <xdr:cNvPr id="62" name="TextBox 5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3109232" y="4241153"/>
          <a:ext cx="2128691" cy="346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40821</xdr:colOff>
      <xdr:row>18</xdr:row>
      <xdr:rowOff>230299</xdr:rowOff>
    </xdr:from>
    <xdr:to>
      <xdr:col>16</xdr:col>
      <xdr:colOff>31831</xdr:colOff>
      <xdr:row>21</xdr:row>
      <xdr:rowOff>25134</xdr:rowOff>
    </xdr:to>
    <xdr:sp macro="" textlink="">
      <xdr:nvSpPr>
        <xdr:cNvPr id="63" name="TextBox 50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7384596" y="4240324"/>
          <a:ext cx="2134135" cy="347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0</xdr:colOff>
      <xdr:row>18</xdr:row>
      <xdr:rowOff>230299</xdr:rowOff>
    </xdr:from>
    <xdr:to>
      <xdr:col>20</xdr:col>
      <xdr:colOff>45438</xdr:colOff>
      <xdr:row>21</xdr:row>
      <xdr:rowOff>25134</xdr:rowOff>
    </xdr:to>
    <xdr:sp macro="" textlink="">
      <xdr:nvSpPr>
        <xdr:cNvPr id="64" name="TextBox 5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9572625" y="4240324"/>
          <a:ext cx="2131413" cy="347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önceki ay ile karşılaştırma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123825</xdr:rowOff>
    </xdr:from>
    <xdr:to>
      <xdr:col>25</xdr:col>
      <xdr:colOff>161925</xdr:colOff>
      <xdr:row>18</xdr:row>
      <xdr:rowOff>104775</xdr:rowOff>
    </xdr:to>
    <xdr:grpSp>
      <xdr:nvGrpSpPr>
        <xdr:cNvPr id="12" name="Gr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3237633" y="123825"/>
          <a:ext cx="2740025" cy="3528483"/>
          <a:chOff x="12849225" y="123825"/>
          <a:chExt cx="2638425" cy="3562350"/>
        </a:xfrm>
      </xdr:grpSpPr>
      <xdr:sp macro="" textlink="">
        <xdr:nvSpPr>
          <xdr:cNvPr id="2" name="Dikdörtgen: Köşeleri Yuvarlatılmış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/>
        </xdr:nvSpPr>
        <xdr:spPr>
          <a:xfrm>
            <a:off x="12849225" y="123825"/>
            <a:ext cx="2638425" cy="3562350"/>
          </a:xfrm>
          <a:prstGeom prst="round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3024758" y="1133475"/>
            <a:ext cx="540000" cy="540000"/>
          </a:xfrm>
          <a:prstGeom prst="ellipse">
            <a:avLst/>
          </a:prstGeom>
          <a:solidFill>
            <a:srgbClr val="E5E0E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4" name="Metin kutusu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13639800" y="885824"/>
            <a:ext cx="1581150" cy="118838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1100" b="1">
                <a:solidFill>
                  <a:schemeClr val="bg1"/>
                </a:solidFill>
              </a:rPr>
              <a:t>Gri belirtilen</a:t>
            </a:r>
            <a:r>
              <a:rPr lang="tr-TR" sz="1100" b="1" baseline="0">
                <a:solidFill>
                  <a:schemeClr val="bg1"/>
                </a:solidFill>
              </a:rPr>
              <a:t> hücreler formül içermektedir. Bu yüzden buradaki hücrelerde değişiklik yapmamanız önerilir.</a:t>
            </a:r>
            <a:endParaRPr lang="tr-TR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3024758" y="2628900"/>
            <a:ext cx="540000" cy="540000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8" name="Metin kutusu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13639800" y="2409825"/>
            <a:ext cx="1581150" cy="10001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1100" b="1">
                <a:solidFill>
                  <a:schemeClr val="bg1"/>
                </a:solidFill>
              </a:rPr>
              <a:t>Beyaz</a:t>
            </a:r>
            <a:r>
              <a:rPr lang="tr-TR" sz="1100" b="1" baseline="0">
                <a:solidFill>
                  <a:schemeClr val="bg1"/>
                </a:solidFill>
              </a:rPr>
              <a:t> hücrelerin verilerini değiştirerek kendi verilerinizi bu hücrelere işleyebilirsiniz.</a:t>
            </a:r>
            <a:endParaRPr lang="tr-TR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1" name="Metin kutusu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13125450" y="180974"/>
            <a:ext cx="2095500" cy="457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tr-TR" sz="1800" b="1">
                <a:solidFill>
                  <a:schemeClr val="bg1"/>
                </a:solidFill>
              </a:rPr>
              <a:t>BİLGİLENDİRME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1304925</xdr:colOff>
      <xdr:row>38</xdr:row>
      <xdr:rowOff>33337</xdr:rowOff>
    </xdr:from>
    <xdr:to>
      <xdr:col>5</xdr:col>
      <xdr:colOff>419100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1295400</xdr:colOff>
      <xdr:row>38</xdr:row>
      <xdr:rowOff>57150</xdr:rowOff>
    </xdr:from>
    <xdr:to>
      <xdr:col>10</xdr:col>
      <xdr:colOff>476250</xdr:colOff>
      <xdr:row>45</xdr:row>
      <xdr:rowOff>80963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516618</xdr:colOff>
      <xdr:row>23</xdr:row>
      <xdr:rowOff>122465</xdr:rowOff>
    </xdr:from>
    <xdr:to>
      <xdr:col>14</xdr:col>
      <xdr:colOff>122465</xdr:colOff>
      <xdr:row>33</xdr:row>
      <xdr:rowOff>68036</xdr:rowOff>
    </xdr:to>
    <xdr:graphicFrame macro="">
      <xdr:nvGraphicFramePr>
        <xdr:cNvPr id="4" name="RBC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116417</xdr:colOff>
      <xdr:row>6</xdr:row>
      <xdr:rowOff>1</xdr:rowOff>
    </xdr:from>
    <xdr:to>
      <xdr:col>29</xdr:col>
      <xdr:colOff>179917</xdr:colOff>
      <xdr:row>17</xdr:row>
      <xdr:rowOff>243418</xdr:rowOff>
    </xdr:to>
    <xdr:graphicFrame macro="">
      <xdr:nvGraphicFramePr>
        <xdr:cNvPr id="7" name="VAH_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25977</xdr:colOff>
      <xdr:row>5</xdr:row>
      <xdr:rowOff>164525</xdr:rowOff>
    </xdr:from>
    <xdr:to>
      <xdr:col>10</xdr:col>
      <xdr:colOff>467591</xdr:colOff>
      <xdr:row>19</xdr:row>
      <xdr:rowOff>17318</xdr:rowOff>
    </xdr:to>
    <xdr:graphicFrame macro="">
      <xdr:nvGraphicFramePr>
        <xdr:cNvPr id="3" name="WAT_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Q113"/>
  <sheetViews>
    <sheetView showGridLines="0" zoomScaleNormal="100" workbookViewId="0">
      <selection activeCell="DQ113" sqref="DQ113"/>
    </sheetView>
  </sheetViews>
  <sheetFormatPr defaultColWidth="11.44140625" defaultRowHeight="14.4"/>
  <cols>
    <col min="1" max="1" width="13.88671875" style="1" customWidth="1"/>
    <col min="2" max="4" width="10.44140625" style="1" customWidth="1"/>
    <col min="5" max="5" width="1.33203125" style="1" customWidth="1"/>
    <col min="6" max="7" width="10.44140625" style="1" customWidth="1"/>
    <col min="8" max="8" width="11" style="1" customWidth="1"/>
    <col min="9" max="9" width="1" style="4" customWidth="1"/>
    <col min="10" max="10" width="10.44140625" style="1" customWidth="1"/>
    <col min="11" max="11" width="7.6640625" style="1" customWidth="1"/>
    <col min="12" max="12" width="12.6640625" style="1" customWidth="1"/>
    <col min="13" max="13" width="0.88671875" style="4" customWidth="1"/>
    <col min="14" max="16" width="10.44140625" style="1" customWidth="1"/>
    <col min="17" max="17" width="1.33203125" style="1" customWidth="1"/>
    <col min="18" max="20" width="10.44140625" style="1" customWidth="1"/>
    <col min="21" max="21" width="4.44140625" style="1" customWidth="1"/>
    <col min="22" max="22" width="18.6640625" style="1" customWidth="1"/>
    <col min="23" max="23" width="18.33203125" style="77" customWidth="1"/>
    <col min="24" max="24" width="10.33203125" style="77" hidden="1" customWidth="1"/>
    <col min="25" max="25" width="11.44140625" style="77" hidden="1" customWidth="1"/>
    <col min="26" max="26" width="13.109375" style="77" hidden="1" customWidth="1"/>
    <col min="27" max="27" width="0" style="77" hidden="1" customWidth="1"/>
    <col min="28" max="121" width="11.44140625" style="92"/>
    <col min="122" max="16384" width="11.44140625" style="1"/>
  </cols>
  <sheetData>
    <row r="1" spans="1:121" ht="6.75" customHeight="1">
      <c r="A1" s="4"/>
      <c r="B1" s="4"/>
      <c r="C1" s="4"/>
      <c r="D1" s="4"/>
      <c r="E1" s="4"/>
      <c r="F1" s="4"/>
      <c r="G1" s="4"/>
      <c r="H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170"/>
    </row>
    <row r="2" spans="1:121" ht="7.5" customHeight="1">
      <c r="A2" s="4"/>
      <c r="B2" s="179"/>
      <c r="C2" s="179"/>
      <c r="D2" s="179"/>
      <c r="E2" s="179"/>
      <c r="F2" s="179"/>
      <c r="G2" s="179"/>
      <c r="H2" s="4"/>
      <c r="J2" s="4"/>
      <c r="K2" s="4"/>
      <c r="L2" s="4"/>
      <c r="N2" s="4"/>
      <c r="O2" s="4"/>
      <c r="P2" s="4"/>
      <c r="Q2" s="4"/>
      <c r="R2" s="172"/>
      <c r="S2" s="172"/>
      <c r="T2" s="5"/>
      <c r="U2" s="5"/>
      <c r="V2" s="170"/>
    </row>
    <row r="3" spans="1:121" ht="6.75" customHeight="1">
      <c r="A3" s="4"/>
      <c r="B3" s="4"/>
      <c r="C3" s="4"/>
      <c r="D3" s="4"/>
      <c r="E3" s="4"/>
      <c r="F3" s="4"/>
      <c r="G3" s="4"/>
      <c r="H3" s="4"/>
      <c r="J3" s="4"/>
      <c r="K3" s="4"/>
      <c r="L3" s="4"/>
      <c r="N3" s="4"/>
      <c r="O3" s="4"/>
      <c r="P3" s="4"/>
      <c r="Q3" s="4"/>
      <c r="R3" s="4"/>
      <c r="S3" s="4"/>
      <c r="T3" s="4"/>
      <c r="U3" s="5"/>
      <c r="V3" s="170"/>
      <c r="AJ3" s="92" t="e">
        <f>+#REF!</f>
        <v>#REF!</v>
      </c>
      <c r="AK3" s="92">
        <f>+Veriler!Q14</f>
        <v>0.26450980392156864</v>
      </c>
    </row>
    <row r="4" spans="1:121" ht="9" customHeight="1">
      <c r="A4" s="4"/>
      <c r="B4" s="4"/>
      <c r="C4" s="4"/>
      <c r="D4" s="4"/>
      <c r="E4" s="4"/>
      <c r="F4" s="4"/>
      <c r="G4" s="4"/>
      <c r="H4" s="4"/>
      <c r="J4" s="4"/>
      <c r="K4" s="4"/>
      <c r="L4" s="4"/>
      <c r="N4" s="4"/>
      <c r="O4" s="4"/>
      <c r="P4" s="4"/>
      <c r="Q4" s="4"/>
      <c r="R4" s="4"/>
      <c r="S4" s="4"/>
      <c r="T4" s="4"/>
      <c r="U4" s="5"/>
      <c r="V4" s="171"/>
      <c r="W4" s="162"/>
      <c r="X4" s="163"/>
      <c r="AJ4" s="92">
        <f>+Veriler!Q14</f>
        <v>0.26450980392156864</v>
      </c>
      <c r="AK4" s="92" t="e">
        <f>+#REF!</f>
        <v>#REF!</v>
      </c>
    </row>
    <row r="5" spans="1:121" s="4" customFormat="1" ht="18.75" customHeight="1">
      <c r="B5" s="166" t="s">
        <v>320</v>
      </c>
      <c r="C5" s="166"/>
      <c r="D5" s="166"/>
      <c r="E5" s="166"/>
      <c r="F5" s="166"/>
      <c r="G5" s="166"/>
      <c r="H5" s="166"/>
      <c r="J5" s="167" t="s">
        <v>311</v>
      </c>
      <c r="K5" s="167"/>
      <c r="L5" s="167"/>
      <c r="N5" s="166" t="s">
        <v>312</v>
      </c>
      <c r="O5" s="166"/>
      <c r="P5" s="166"/>
      <c r="Q5" s="166"/>
      <c r="R5" s="166"/>
      <c r="S5" s="166"/>
      <c r="T5" s="166"/>
      <c r="U5" s="5"/>
      <c r="V5" s="58" t="str">
        <f>INDEX(calc!T4:AE4,1,X10)</f>
        <v>APR</v>
      </c>
      <c r="W5" s="157"/>
      <c r="X5" s="157"/>
      <c r="Y5" s="77"/>
      <c r="Z5" s="77"/>
      <c r="AA5" s="77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</row>
    <row r="6" spans="1:121" s="4" customFormat="1" ht="11.25" customHeight="1">
      <c r="U6" s="5"/>
      <c r="V6" s="5"/>
      <c r="W6" s="77"/>
      <c r="X6" s="77"/>
      <c r="Y6" s="77"/>
      <c r="Z6" s="77"/>
      <c r="AA6" s="77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</row>
    <row r="7" spans="1:121" ht="37.5" customHeight="1">
      <c r="A7" s="6"/>
      <c r="B7" s="4"/>
      <c r="C7" s="4"/>
      <c r="D7" s="4"/>
      <c r="E7" s="4"/>
      <c r="F7" s="4"/>
      <c r="G7" s="4"/>
      <c r="H7" s="4"/>
      <c r="J7" s="180"/>
      <c r="K7" s="180"/>
      <c r="L7" s="180"/>
      <c r="U7" s="5"/>
      <c r="V7" s="5"/>
      <c r="W7" s="77" t="s">
        <v>275</v>
      </c>
      <c r="AB7" s="77"/>
    </row>
    <row r="8" spans="1:121" ht="27.75" customHeight="1">
      <c r="A8" s="4"/>
      <c r="B8" s="4"/>
      <c r="C8" s="4"/>
      <c r="D8" s="4"/>
      <c r="E8" s="4"/>
      <c r="F8" s="4"/>
      <c r="G8" s="4"/>
      <c r="H8" s="4"/>
      <c r="J8" s="180"/>
      <c r="K8" s="180"/>
      <c r="L8" s="180"/>
      <c r="U8" s="5"/>
      <c r="V8" s="5"/>
      <c r="AB8" s="77"/>
    </row>
    <row r="9" spans="1:121" ht="6" customHeight="1">
      <c r="A9" s="4"/>
      <c r="B9" s="4"/>
      <c r="C9" s="4"/>
      <c r="D9" s="4"/>
      <c r="E9" s="4"/>
      <c r="F9" s="4"/>
      <c r="G9" s="4"/>
      <c r="H9" s="4"/>
      <c r="J9" s="180"/>
      <c r="K9" s="180"/>
      <c r="L9" s="180"/>
      <c r="U9" s="5"/>
      <c r="V9" s="5"/>
      <c r="AB9" s="77"/>
    </row>
    <row r="10" spans="1:121" ht="21" customHeight="1">
      <c r="A10" s="4"/>
      <c r="B10" s="4"/>
      <c r="C10" s="4"/>
      <c r="D10" s="4"/>
      <c r="E10" s="4"/>
      <c r="F10" s="4"/>
      <c r="G10" s="4"/>
      <c r="H10" s="4"/>
      <c r="J10" s="180"/>
      <c r="K10" s="180"/>
      <c r="L10" s="180"/>
      <c r="U10" s="5"/>
      <c r="V10" s="5"/>
      <c r="X10" s="77">
        <v>4</v>
      </c>
      <c r="Z10" s="158" t="s">
        <v>277</v>
      </c>
      <c r="AA10" s="77">
        <f>Veriler!Q21</f>
        <v>5200</v>
      </c>
    </row>
    <row r="11" spans="1:121" s="4" customFormat="1" ht="4.5" customHeight="1">
      <c r="J11" s="180"/>
      <c r="K11" s="180"/>
      <c r="L11" s="180"/>
      <c r="N11" s="1"/>
      <c r="O11" s="1"/>
      <c r="P11" s="1"/>
      <c r="Q11" s="1"/>
      <c r="R11" s="1"/>
      <c r="S11" s="1"/>
      <c r="T11" s="1"/>
      <c r="U11" s="5"/>
      <c r="V11" s="5"/>
      <c r="W11" s="77"/>
      <c r="X11" s="77"/>
      <c r="Y11" s="77"/>
      <c r="Z11" s="158" t="s">
        <v>278</v>
      </c>
      <c r="AA11" s="77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92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  <c r="DQ11" s="92"/>
    </row>
    <row r="12" spans="1:121" ht="24" customHeight="1">
      <c r="A12" s="4"/>
      <c r="B12" s="4"/>
      <c r="C12" s="4"/>
      <c r="D12" s="4"/>
      <c r="E12" s="4"/>
      <c r="F12" s="4"/>
      <c r="G12" s="4"/>
      <c r="H12" s="4"/>
      <c r="J12" s="59"/>
      <c r="K12" s="59"/>
      <c r="L12" s="59"/>
      <c r="U12" s="5"/>
      <c r="V12" s="5"/>
      <c r="Z12" s="158" t="s">
        <v>279</v>
      </c>
    </row>
    <row r="13" spans="1:121" ht="24" customHeight="1">
      <c r="A13" s="4"/>
      <c r="B13" s="4"/>
      <c r="C13" s="4"/>
      <c r="D13" s="4"/>
      <c r="E13" s="4"/>
      <c r="F13" s="4"/>
      <c r="G13" s="4"/>
      <c r="H13" s="4"/>
      <c r="J13" s="4"/>
      <c r="K13" s="4"/>
      <c r="L13" s="4"/>
      <c r="N13" s="4"/>
      <c r="O13" s="4"/>
      <c r="P13" s="4"/>
      <c r="Q13" s="4"/>
      <c r="R13" s="4"/>
      <c r="S13" s="4"/>
      <c r="T13" s="4"/>
      <c r="U13" s="5"/>
      <c r="V13" s="5"/>
      <c r="Z13" s="158" t="s">
        <v>280</v>
      </c>
      <c r="AA13" s="77">
        <f>B17-AA10</f>
        <v>-100</v>
      </c>
    </row>
    <row r="14" spans="1:121" ht="32.25" customHeight="1">
      <c r="A14" s="4"/>
      <c r="B14" s="4"/>
      <c r="C14" s="4"/>
      <c r="D14" s="4"/>
      <c r="E14" s="4"/>
      <c r="F14" s="4"/>
      <c r="G14" s="4"/>
      <c r="H14" s="4"/>
      <c r="J14" s="4"/>
      <c r="K14" s="4"/>
      <c r="L14" s="4"/>
      <c r="N14" s="5"/>
      <c r="O14" s="5"/>
      <c r="P14" s="5"/>
      <c r="Q14" s="5"/>
      <c r="R14" s="5"/>
      <c r="S14" s="5"/>
      <c r="T14" s="5"/>
      <c r="U14" s="5"/>
      <c r="V14" s="5"/>
      <c r="Z14" s="158" t="s">
        <v>281</v>
      </c>
    </row>
    <row r="15" spans="1:121" ht="22.5" customHeight="1">
      <c r="A15" s="4"/>
      <c r="B15" s="167" t="str">
        <f>+Veriler!D7</f>
        <v>Gelir</v>
      </c>
      <c r="C15" s="167"/>
      <c r="D15" s="167"/>
      <c r="E15" s="68"/>
      <c r="F15" s="167" t="str">
        <f>+Veriler!D15</f>
        <v>Giderler</v>
      </c>
      <c r="G15" s="167"/>
      <c r="H15" s="167"/>
      <c r="I15" s="69"/>
      <c r="J15" s="167" t="s">
        <v>303</v>
      </c>
      <c r="K15" s="167"/>
      <c r="L15" s="167"/>
      <c r="M15" s="69"/>
      <c r="N15" s="167" t="str">
        <f>+Veriler!D19</f>
        <v>Alacak Hesapları</v>
      </c>
      <c r="O15" s="167"/>
      <c r="P15" s="167"/>
      <c r="Q15" s="70"/>
      <c r="R15" s="167" t="str">
        <f>+Veriler!D20</f>
        <v>Ödenecek Hesaplar</v>
      </c>
      <c r="S15" s="167"/>
      <c r="T15" s="167"/>
      <c r="U15" s="5"/>
      <c r="V15" s="5"/>
      <c r="Z15" s="158" t="s">
        <v>282</v>
      </c>
    </row>
    <row r="16" spans="1:121" ht="3.75" customHeight="1">
      <c r="A16" s="4"/>
      <c r="B16" s="73"/>
      <c r="C16" s="73"/>
      <c r="D16" s="73"/>
      <c r="E16" s="68"/>
      <c r="F16" s="73"/>
      <c r="G16" s="73"/>
      <c r="H16" s="73"/>
      <c r="I16" s="71"/>
      <c r="J16" s="73"/>
      <c r="K16" s="73"/>
      <c r="L16" s="73"/>
      <c r="M16" s="71"/>
      <c r="N16" s="73"/>
      <c r="O16" s="73"/>
      <c r="P16" s="73"/>
      <c r="Q16" s="70"/>
      <c r="R16" s="73"/>
      <c r="S16" s="73"/>
      <c r="T16" s="73"/>
      <c r="U16" s="5"/>
      <c r="V16" s="5"/>
      <c r="Z16" s="158" t="s">
        <v>283</v>
      </c>
    </row>
    <row r="17" spans="1:121" ht="24" customHeight="1">
      <c r="A17" s="4"/>
      <c r="B17" s="173">
        <f>Veriler!Q7</f>
        <v>5100</v>
      </c>
      <c r="C17" s="173"/>
      <c r="D17" s="173"/>
      <c r="E17" s="4"/>
      <c r="F17" s="173">
        <f>Veriler!Q15</f>
        <v>2974</v>
      </c>
      <c r="G17" s="173"/>
      <c r="H17" s="173"/>
      <c r="I17" s="64"/>
      <c r="J17" s="59"/>
      <c r="K17" s="59"/>
      <c r="L17" s="59"/>
      <c r="N17" s="175">
        <f>Veriler!Q19</f>
        <v>1068</v>
      </c>
      <c r="O17" s="175"/>
      <c r="P17" s="175"/>
      <c r="Q17" s="8"/>
      <c r="R17" s="175">
        <f>Veriler!Q20</f>
        <v>1200</v>
      </c>
      <c r="S17" s="175"/>
      <c r="T17" s="175"/>
      <c r="U17" s="5"/>
      <c r="V17" s="5"/>
      <c r="Z17" s="158" t="s">
        <v>284</v>
      </c>
    </row>
    <row r="18" spans="1:121" ht="28.5" customHeight="1">
      <c r="A18" s="4"/>
      <c r="B18" s="174"/>
      <c r="C18" s="174"/>
      <c r="D18" s="174"/>
      <c r="E18" s="4"/>
      <c r="F18" s="174"/>
      <c r="G18" s="174"/>
      <c r="H18" s="174"/>
      <c r="I18" s="64"/>
      <c r="J18" s="59"/>
      <c r="K18" s="59"/>
      <c r="L18" s="59"/>
      <c r="N18" s="176"/>
      <c r="O18" s="176"/>
      <c r="P18" s="176"/>
      <c r="Q18" s="8"/>
      <c r="R18" s="176"/>
      <c r="S18" s="176"/>
      <c r="T18" s="176"/>
      <c r="U18" s="5"/>
      <c r="V18" s="5"/>
      <c r="Z18" s="158" t="s">
        <v>285</v>
      </c>
    </row>
    <row r="19" spans="1:121" ht="24" customHeight="1">
      <c r="A19" s="4"/>
      <c r="B19" s="164"/>
      <c r="C19" s="164"/>
      <c r="D19" s="164"/>
      <c r="E19" s="4"/>
      <c r="F19" s="165"/>
      <c r="G19" s="165"/>
      <c r="H19" s="165"/>
      <c r="I19" s="65"/>
      <c r="J19" s="59"/>
      <c r="K19" s="59"/>
      <c r="L19" s="59"/>
      <c r="N19" s="168"/>
      <c r="O19" s="169"/>
      <c r="P19" s="169"/>
      <c r="Q19" s="4"/>
      <c r="R19" s="168"/>
      <c r="S19" s="169"/>
      <c r="T19" s="169"/>
      <c r="U19" s="5"/>
      <c r="V19" s="5"/>
      <c r="Z19" s="158" t="s">
        <v>286</v>
      </c>
    </row>
    <row r="20" spans="1:121" s="59" customFormat="1" ht="13.5" customHeight="1">
      <c r="A20" s="4"/>
      <c r="E20" s="4"/>
      <c r="I20" s="4"/>
      <c r="M20" s="4"/>
      <c r="Q20" s="4"/>
      <c r="U20" s="5"/>
      <c r="V20" s="5"/>
      <c r="W20" s="77"/>
      <c r="X20" s="77"/>
      <c r="Y20" s="77"/>
      <c r="Z20" s="158" t="s">
        <v>287</v>
      </c>
      <c r="AA20" s="77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2"/>
    </row>
    <row r="21" spans="1:121" s="77" customFormat="1" ht="6" customHeight="1">
      <c r="Z21" s="158" t="s">
        <v>288</v>
      </c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  <c r="DQ21" s="92"/>
    </row>
    <row r="22" spans="1:121" ht="24" customHeight="1">
      <c r="A22" s="4"/>
      <c r="B22" s="167" t="str">
        <f>+Veriler!D13</f>
        <v>Net Kâr</v>
      </c>
      <c r="C22" s="167"/>
      <c r="D22" s="167"/>
      <c r="E22" s="70"/>
      <c r="F22" s="167" t="str">
        <f>+Veriler!D16</f>
        <v>Ay Sonundaki Nakit</v>
      </c>
      <c r="G22" s="167"/>
      <c r="H22" s="167"/>
      <c r="I22" s="71"/>
      <c r="J22" s="167" t="s">
        <v>305</v>
      </c>
      <c r="K22" s="167"/>
      <c r="L22" s="167"/>
      <c r="M22" s="72"/>
      <c r="N22" s="177" t="str">
        <f>+Veriler!D17</f>
        <v>Hızlı Oran</v>
      </c>
      <c r="O22" s="177"/>
      <c r="P22" s="177"/>
      <c r="Q22" s="70"/>
      <c r="R22" s="167" t="str">
        <f>+Veriler!D18</f>
        <v>Cari Oran</v>
      </c>
      <c r="S22" s="167"/>
      <c r="T22" s="167"/>
      <c r="U22" s="5"/>
      <c r="V22" s="5"/>
    </row>
    <row r="23" spans="1:121" ht="3" customHeight="1">
      <c r="A23" s="4"/>
      <c r="B23" s="73"/>
      <c r="C23" s="73"/>
      <c r="D23" s="73"/>
      <c r="E23" s="70"/>
      <c r="F23" s="73"/>
      <c r="G23" s="73"/>
      <c r="H23" s="73"/>
      <c r="I23" s="71"/>
      <c r="J23" s="73"/>
      <c r="K23" s="73"/>
      <c r="L23" s="73"/>
      <c r="M23" s="72"/>
      <c r="N23" s="75"/>
      <c r="O23" s="75"/>
      <c r="P23" s="75"/>
      <c r="Q23" s="70"/>
      <c r="R23" s="73"/>
      <c r="S23" s="73"/>
      <c r="T23" s="73"/>
      <c r="U23" s="5"/>
      <c r="V23" s="5"/>
      <c r="AA23" s="77" t="s">
        <v>16</v>
      </c>
      <c r="AB23" s="92">
        <f>Veriler!Q23</f>
        <v>3650</v>
      </c>
    </row>
    <row r="24" spans="1:121" ht="24" customHeight="1">
      <c r="A24" s="4"/>
      <c r="B24" s="176">
        <f>Veriler!Q13</f>
        <v>1349</v>
      </c>
      <c r="C24" s="176"/>
      <c r="D24" s="176"/>
      <c r="E24" s="4"/>
      <c r="F24" s="176">
        <f>Veriler!Q16</f>
        <v>4482</v>
      </c>
      <c r="G24" s="176"/>
      <c r="H24" s="176"/>
      <c r="I24" s="66"/>
      <c r="J24" s="59"/>
      <c r="K24" s="59"/>
      <c r="L24" s="59"/>
      <c r="N24" s="178">
        <f>Veriler!Q17</f>
        <v>2.11</v>
      </c>
      <c r="O24" s="178"/>
      <c r="P24" s="178"/>
      <c r="Q24" s="8"/>
      <c r="R24" s="178">
        <f>Veriler!Q18</f>
        <v>4.08</v>
      </c>
      <c r="S24" s="178"/>
      <c r="T24" s="178"/>
      <c r="U24" s="5"/>
      <c r="V24" s="5"/>
      <c r="AA24" s="77" t="s">
        <v>17</v>
      </c>
      <c r="AB24" s="92">
        <f>F17-AB23</f>
        <v>-676</v>
      </c>
    </row>
    <row r="25" spans="1:121" ht="6.75" customHeight="1">
      <c r="A25" s="4"/>
      <c r="B25" s="176"/>
      <c r="C25" s="176"/>
      <c r="D25" s="176"/>
      <c r="E25" s="4"/>
      <c r="F25" s="176"/>
      <c r="G25" s="176"/>
      <c r="H25" s="176"/>
      <c r="I25" s="66"/>
      <c r="J25" s="59"/>
      <c r="K25" s="59"/>
      <c r="L25" s="59"/>
      <c r="N25" s="178"/>
      <c r="O25" s="178"/>
      <c r="P25" s="178"/>
      <c r="Q25" s="8"/>
      <c r="R25" s="178"/>
      <c r="S25" s="178"/>
      <c r="T25" s="178"/>
      <c r="U25" s="5"/>
      <c r="V25" s="5"/>
    </row>
    <row r="26" spans="1:121" ht="24" customHeight="1">
      <c r="A26" s="4"/>
      <c r="B26" s="168"/>
      <c r="C26" s="169"/>
      <c r="D26" s="169"/>
      <c r="E26" s="4"/>
      <c r="F26" s="168"/>
      <c r="G26" s="169"/>
      <c r="H26" s="169"/>
      <c r="I26" s="67"/>
      <c r="J26" s="59"/>
      <c r="K26" s="59"/>
      <c r="L26" s="59"/>
      <c r="N26" s="168"/>
      <c r="O26" s="169"/>
      <c r="P26" s="169"/>
      <c r="Q26" s="4"/>
      <c r="R26" s="168"/>
      <c r="S26" s="169"/>
      <c r="T26" s="169"/>
      <c r="U26" s="5"/>
      <c r="V26" s="5"/>
    </row>
    <row r="27" spans="1:121" ht="24" customHeight="1">
      <c r="A27" s="4"/>
      <c r="B27" s="7"/>
      <c r="C27" s="7"/>
      <c r="D27" s="7"/>
      <c r="E27" s="5"/>
      <c r="F27" s="7"/>
      <c r="G27" s="7"/>
      <c r="H27" s="7"/>
      <c r="I27" s="5"/>
      <c r="J27" s="7"/>
      <c r="K27" s="7"/>
      <c r="L27" s="7"/>
      <c r="M27" s="5"/>
      <c r="N27" s="7"/>
      <c r="O27" s="7"/>
      <c r="P27" s="7"/>
      <c r="Q27" s="5"/>
      <c r="R27" s="7"/>
      <c r="S27" s="7"/>
      <c r="T27" s="7"/>
      <c r="U27" s="5"/>
      <c r="V27" s="5"/>
    </row>
    <row r="28" spans="1:121" s="4" customFormat="1" ht="12.75" customHeight="1">
      <c r="B28" s="86"/>
      <c r="C28" s="86"/>
      <c r="D28" s="86"/>
      <c r="E28" s="5"/>
      <c r="F28" s="86"/>
      <c r="G28" s="86"/>
      <c r="H28" s="86"/>
      <c r="I28" s="5"/>
      <c r="J28" s="86"/>
      <c r="K28" s="86"/>
      <c r="L28" s="86"/>
      <c r="M28" s="5"/>
      <c r="N28" s="86"/>
      <c r="O28" s="86"/>
      <c r="P28" s="86"/>
      <c r="Q28" s="5"/>
      <c r="R28" s="86"/>
      <c r="S28" s="86"/>
      <c r="T28" s="86"/>
      <c r="U28" s="5"/>
      <c r="V28" s="5"/>
      <c r="W28" s="77"/>
      <c r="X28" s="77"/>
      <c r="Y28" s="77"/>
      <c r="Z28" s="77"/>
      <c r="AA28" s="77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</row>
    <row r="29" spans="1:121" s="4" customFormat="1" ht="24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77"/>
      <c r="X29" s="77"/>
      <c r="Y29" s="77"/>
      <c r="Z29" s="77"/>
      <c r="AA29" s="77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</row>
    <row r="30" spans="1:121" s="4" customFormat="1" ht="24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77"/>
      <c r="X30" s="77"/>
      <c r="Y30" s="77"/>
      <c r="Z30" s="77"/>
      <c r="AA30" s="77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</row>
    <row r="31" spans="1:121" s="4" customFormat="1" ht="24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7"/>
      <c r="X31" s="77"/>
      <c r="Y31" s="77"/>
      <c r="Z31" s="77"/>
      <c r="AA31" s="77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</row>
    <row r="32" spans="1:121" s="4" customFormat="1" ht="24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77"/>
      <c r="X32" s="77"/>
      <c r="Y32" s="77"/>
      <c r="Z32" s="77"/>
      <c r="AA32" s="77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</row>
    <row r="33" spans="2:121" s="4" customFormat="1" ht="24" customHeight="1">
      <c r="B33" s="8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77"/>
      <c r="X33" s="77"/>
      <c r="Y33" s="77"/>
      <c r="Z33" s="77"/>
      <c r="AA33" s="77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</row>
    <row r="34" spans="2:121" s="4" customFormat="1" ht="13.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7"/>
      <c r="X34" s="77"/>
      <c r="Y34" s="77"/>
      <c r="Z34" s="77"/>
      <c r="AA34" s="77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</row>
    <row r="35" spans="2:121" s="4" customFormat="1" ht="13.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77"/>
      <c r="X35" s="77"/>
      <c r="Y35" s="77"/>
      <c r="Z35" s="77"/>
      <c r="AA35" s="77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</row>
    <row r="36" spans="2:121" s="4" customForma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77"/>
      <c r="X36" s="77"/>
      <c r="Y36" s="77"/>
      <c r="Z36" s="77"/>
      <c r="AA36" s="77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</row>
    <row r="37" spans="2:121" s="4" customForma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77"/>
      <c r="X37" s="77"/>
      <c r="Y37" s="77"/>
      <c r="Z37" s="77"/>
      <c r="AA37" s="77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</row>
    <row r="38" spans="2:121" s="4" customForma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77"/>
      <c r="X38" s="77"/>
      <c r="Y38" s="77"/>
      <c r="Z38" s="77"/>
      <c r="AA38" s="77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</row>
    <row r="39" spans="2:121" s="4" customForma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77"/>
      <c r="X39" s="77"/>
      <c r="Y39" s="77"/>
      <c r="Z39" s="77"/>
      <c r="AA39" s="77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  <c r="DQ39" s="92"/>
    </row>
    <row r="40" spans="2:121" s="4" customForma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77"/>
      <c r="X40" s="77"/>
      <c r="Y40" s="77"/>
      <c r="Z40" s="77"/>
      <c r="AA40" s="77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2"/>
    </row>
    <row r="41" spans="2:121" s="4" customForma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77"/>
      <c r="X41" s="77"/>
      <c r="Y41" s="77"/>
      <c r="Z41" s="77"/>
      <c r="AA41" s="77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  <c r="DQ41" s="92"/>
    </row>
    <row r="42" spans="2:121" s="4" customForma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7"/>
      <c r="X42" s="77"/>
      <c r="Y42" s="77"/>
      <c r="Z42" s="77"/>
      <c r="AA42" s="77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  <c r="DQ42" s="92"/>
    </row>
    <row r="43" spans="2:121" s="4" customForma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77"/>
      <c r="X43" s="77"/>
      <c r="Y43" s="77"/>
      <c r="Z43" s="77"/>
      <c r="AA43" s="77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</row>
    <row r="44" spans="2:121" s="4" customForma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77"/>
      <c r="X44" s="77"/>
      <c r="Y44" s="77"/>
      <c r="Z44" s="77"/>
      <c r="AA44" s="77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</row>
    <row r="45" spans="2:121" s="4" customForma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77"/>
      <c r="X45" s="77"/>
      <c r="Y45" s="77"/>
      <c r="Z45" s="77"/>
      <c r="AA45" s="77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</row>
    <row r="46" spans="2:121" s="4" customForma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77"/>
      <c r="X46" s="77"/>
      <c r="Y46" s="77"/>
      <c r="Z46" s="77"/>
      <c r="AA46" s="77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  <c r="DQ46" s="92"/>
    </row>
    <row r="47" spans="2:121" s="4" customForma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77"/>
      <c r="X47" s="77"/>
      <c r="Y47" s="77"/>
      <c r="Z47" s="77"/>
      <c r="AA47" s="77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</row>
    <row r="48" spans="2:121" s="4" customForma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77"/>
      <c r="X48" s="77"/>
      <c r="Y48" s="77"/>
      <c r="Z48" s="77"/>
      <c r="AA48" s="77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</row>
    <row r="49" spans="2:121" s="4" customForma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77"/>
      <c r="X49" s="77"/>
      <c r="Y49" s="77"/>
      <c r="Z49" s="77"/>
      <c r="AA49" s="77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</row>
    <row r="50" spans="2:121" s="4" customForma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77"/>
      <c r="X50" s="77"/>
      <c r="Y50" s="77"/>
      <c r="Z50" s="77"/>
      <c r="AA50" s="77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</row>
    <row r="51" spans="2:121" s="4" customForma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77"/>
      <c r="X51" s="77"/>
      <c r="Y51" s="77"/>
      <c r="Z51" s="77"/>
      <c r="AA51" s="77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</row>
    <row r="52" spans="2:121" s="4" customForma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77"/>
      <c r="X52" s="77"/>
      <c r="Y52" s="77"/>
      <c r="Z52" s="77"/>
      <c r="AA52" s="77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</row>
    <row r="53" spans="2:121" s="4" customForma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77"/>
      <c r="X53" s="77"/>
      <c r="Y53" s="77"/>
      <c r="Z53" s="77"/>
      <c r="AA53" s="77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</row>
    <row r="54" spans="2:121" s="4" customForma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77"/>
      <c r="X54" s="77"/>
      <c r="Y54" s="77"/>
      <c r="Z54" s="77"/>
      <c r="AA54" s="77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</row>
    <row r="55" spans="2:121" s="4" customForma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77"/>
      <c r="X55" s="77"/>
      <c r="Y55" s="77"/>
      <c r="Z55" s="77"/>
      <c r="AA55" s="77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</row>
    <row r="56" spans="2:121" s="4" customForma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77"/>
      <c r="X56" s="77"/>
      <c r="Y56" s="77"/>
      <c r="Z56" s="77"/>
      <c r="AA56" s="77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</row>
    <row r="57" spans="2:121" s="4" customForma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77"/>
      <c r="X57" s="77"/>
      <c r="Y57" s="77"/>
      <c r="Z57" s="77"/>
      <c r="AA57" s="77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</row>
    <row r="58" spans="2:121" s="4" customForma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77"/>
      <c r="X58" s="77"/>
      <c r="Y58" s="77"/>
      <c r="Z58" s="77"/>
      <c r="AA58" s="77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</row>
    <row r="59" spans="2:121" s="4" customForma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77"/>
      <c r="X59" s="77"/>
      <c r="Y59" s="77"/>
      <c r="Z59" s="77"/>
      <c r="AA59" s="77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  <c r="DQ59" s="92"/>
    </row>
    <row r="60" spans="2:121" s="4" customForma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77"/>
      <c r="X60" s="77"/>
      <c r="Y60" s="77"/>
      <c r="Z60" s="77"/>
      <c r="AA60" s="77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2"/>
    </row>
    <row r="61" spans="2:121" s="4" customForma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77"/>
      <c r="X61" s="77"/>
      <c r="Y61" s="77"/>
      <c r="Z61" s="77"/>
      <c r="AA61" s="77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</row>
    <row r="62" spans="2:121" s="4" customForma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77"/>
      <c r="X62" s="77"/>
      <c r="Y62" s="77"/>
      <c r="Z62" s="77"/>
      <c r="AA62" s="77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</row>
    <row r="63" spans="2:121" s="4" customForma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77"/>
      <c r="X63" s="77"/>
      <c r="Y63" s="77"/>
      <c r="Z63" s="77"/>
      <c r="AA63" s="77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</row>
    <row r="64" spans="2:121" s="4" customForma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77"/>
      <c r="X64" s="77"/>
      <c r="Y64" s="77"/>
      <c r="Z64" s="77"/>
      <c r="AA64" s="77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</row>
    <row r="65" spans="2:121" s="4" customForma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77"/>
      <c r="X65" s="77"/>
      <c r="Y65" s="77"/>
      <c r="Z65" s="77"/>
      <c r="AA65" s="77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  <c r="DQ65" s="92"/>
    </row>
    <row r="66" spans="2:121" s="4" customForma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77"/>
      <c r="X66" s="77"/>
      <c r="Y66" s="77"/>
      <c r="Z66" s="77"/>
      <c r="AA66" s="77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92"/>
      <c r="CW66" s="92"/>
      <c r="CX66" s="92"/>
      <c r="CY66" s="92"/>
      <c r="CZ66" s="92"/>
      <c r="DA66" s="92"/>
      <c r="DB66" s="92"/>
      <c r="DC66" s="92"/>
      <c r="DD66" s="92"/>
      <c r="DE66" s="92"/>
      <c r="DF66" s="92"/>
      <c r="DG66" s="92"/>
      <c r="DH66" s="92"/>
      <c r="DI66" s="92"/>
      <c r="DJ66" s="92"/>
      <c r="DK66" s="92"/>
      <c r="DL66" s="92"/>
      <c r="DM66" s="92"/>
      <c r="DN66" s="92"/>
      <c r="DO66" s="92"/>
      <c r="DP66" s="92"/>
      <c r="DQ66" s="92"/>
    </row>
    <row r="67" spans="2:121" s="4" customForma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77"/>
      <c r="X67" s="77"/>
      <c r="Y67" s="77"/>
      <c r="Z67" s="77"/>
      <c r="AA67" s="77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2"/>
      <c r="CZ67" s="92"/>
      <c r="DA67" s="92"/>
      <c r="DB67" s="92"/>
      <c r="DC67" s="92"/>
      <c r="DD67" s="92"/>
      <c r="DE67" s="92"/>
      <c r="DF67" s="92"/>
      <c r="DG67" s="92"/>
      <c r="DH67" s="92"/>
      <c r="DI67" s="92"/>
      <c r="DJ67" s="92"/>
      <c r="DK67" s="92"/>
      <c r="DL67" s="92"/>
      <c r="DM67" s="92"/>
      <c r="DN67" s="92"/>
      <c r="DO67" s="92"/>
      <c r="DP67" s="92"/>
      <c r="DQ67" s="92"/>
    </row>
    <row r="68" spans="2:121" s="4" customForma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77"/>
      <c r="X68" s="77"/>
      <c r="Y68" s="77"/>
      <c r="Z68" s="77"/>
      <c r="AA68" s="77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</row>
    <row r="69" spans="2:121" s="4" customForma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77"/>
      <c r="X69" s="77"/>
      <c r="Y69" s="77"/>
      <c r="Z69" s="77"/>
      <c r="AA69" s="77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  <c r="CW69" s="92"/>
      <c r="CX69" s="92"/>
      <c r="CY69" s="92"/>
      <c r="CZ69" s="92"/>
      <c r="DA69" s="92"/>
      <c r="DB69" s="92"/>
      <c r="DC69" s="92"/>
      <c r="DD69" s="92"/>
      <c r="DE69" s="92"/>
      <c r="DF69" s="92"/>
      <c r="DG69" s="92"/>
      <c r="DH69" s="92"/>
      <c r="DI69" s="92"/>
      <c r="DJ69" s="92"/>
      <c r="DK69" s="92"/>
      <c r="DL69" s="92"/>
      <c r="DM69" s="92"/>
      <c r="DN69" s="92"/>
      <c r="DO69" s="92"/>
      <c r="DP69" s="92"/>
      <c r="DQ69" s="92"/>
    </row>
    <row r="70" spans="2:121" s="4" customForma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77"/>
      <c r="X70" s="77"/>
      <c r="Y70" s="77"/>
      <c r="Z70" s="77"/>
      <c r="AA70" s="77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  <c r="DQ70" s="92"/>
    </row>
    <row r="71" spans="2:121" s="4" customForma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77"/>
      <c r="X71" s="77"/>
      <c r="Y71" s="77"/>
      <c r="Z71" s="77"/>
      <c r="AA71" s="77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  <c r="CW71" s="92"/>
      <c r="CX71" s="92"/>
      <c r="CY71" s="92"/>
      <c r="CZ71" s="92"/>
      <c r="DA71" s="92"/>
      <c r="DB71" s="92"/>
      <c r="DC71" s="92"/>
      <c r="DD71" s="92"/>
      <c r="DE71" s="92"/>
      <c r="DF71" s="92"/>
      <c r="DG71" s="92"/>
      <c r="DH71" s="92"/>
      <c r="DI71" s="92"/>
      <c r="DJ71" s="92"/>
      <c r="DK71" s="92"/>
      <c r="DL71" s="92"/>
      <c r="DM71" s="92"/>
      <c r="DN71" s="92"/>
      <c r="DO71" s="92"/>
      <c r="DP71" s="92"/>
      <c r="DQ71" s="92"/>
    </row>
    <row r="72" spans="2:121" s="4" customForma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77"/>
      <c r="X72" s="77"/>
      <c r="Y72" s="77"/>
      <c r="Z72" s="77"/>
      <c r="AA72" s="77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</row>
    <row r="73" spans="2:121" s="4" customForma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77"/>
      <c r="X73" s="77"/>
      <c r="Y73" s="77"/>
      <c r="Z73" s="77"/>
      <c r="AA73" s="77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</row>
    <row r="74" spans="2:121" s="4" customForma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77"/>
      <c r="X74" s="77"/>
      <c r="Y74" s="77"/>
      <c r="Z74" s="77"/>
      <c r="AA74" s="77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</row>
    <row r="75" spans="2:121" s="4" customForma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77"/>
      <c r="X75" s="77"/>
      <c r="Y75" s="77"/>
      <c r="Z75" s="77"/>
      <c r="AA75" s="77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</row>
    <row r="76" spans="2:121" s="4" customForma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77"/>
      <c r="X76" s="77"/>
      <c r="Y76" s="77"/>
      <c r="Z76" s="77"/>
      <c r="AA76" s="77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</row>
    <row r="77" spans="2:121" s="4" customForma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77"/>
      <c r="X77" s="77"/>
      <c r="Y77" s="77"/>
      <c r="Z77" s="77"/>
      <c r="AA77" s="77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</row>
    <row r="78" spans="2:121" s="4" customForma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77"/>
      <c r="X78" s="77"/>
      <c r="Y78" s="77"/>
      <c r="Z78" s="77"/>
      <c r="AA78" s="77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  <c r="DQ78" s="92"/>
    </row>
    <row r="79" spans="2:121" s="4" customForma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77"/>
      <c r="X79" s="77"/>
      <c r="Y79" s="77"/>
      <c r="Z79" s="77"/>
      <c r="AA79" s="77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  <c r="DQ79" s="92"/>
    </row>
    <row r="80" spans="2:121" s="4" customForma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77"/>
      <c r="X80" s="77"/>
      <c r="Y80" s="77"/>
      <c r="Z80" s="77"/>
      <c r="AA80" s="77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92"/>
      <c r="CX80" s="92"/>
      <c r="CY80" s="92"/>
      <c r="CZ80" s="92"/>
      <c r="DA80" s="92"/>
      <c r="DB80" s="92"/>
      <c r="DC80" s="92"/>
      <c r="DD80" s="92"/>
      <c r="DE80" s="92"/>
      <c r="DF80" s="92"/>
      <c r="DG80" s="92"/>
      <c r="DH80" s="92"/>
      <c r="DI80" s="92"/>
      <c r="DJ80" s="92"/>
      <c r="DK80" s="92"/>
      <c r="DL80" s="92"/>
      <c r="DM80" s="92"/>
      <c r="DN80" s="92"/>
      <c r="DO80" s="92"/>
      <c r="DP80" s="92"/>
      <c r="DQ80" s="92"/>
    </row>
    <row r="81" spans="4:121" s="4" customFormat="1">
      <c r="U81" s="5"/>
      <c r="V81" s="5"/>
      <c r="W81" s="77"/>
      <c r="X81" s="77"/>
      <c r="Y81" s="77"/>
      <c r="Z81" s="77"/>
      <c r="AA81" s="77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  <c r="BZ81" s="92"/>
      <c r="CA81" s="92"/>
      <c r="CB81" s="92"/>
      <c r="CC81" s="92"/>
      <c r="CD81" s="92"/>
      <c r="CE81" s="92"/>
      <c r="CF81" s="92"/>
      <c r="CG81" s="92"/>
      <c r="CH81" s="92"/>
      <c r="CI81" s="92"/>
      <c r="CJ81" s="92"/>
      <c r="CK81" s="92"/>
      <c r="CL81" s="92"/>
      <c r="CM81" s="92"/>
      <c r="CN81" s="92"/>
      <c r="CO81" s="92"/>
      <c r="CP81" s="92"/>
      <c r="CQ81" s="92"/>
      <c r="CR81" s="92"/>
      <c r="CS81" s="92"/>
      <c r="CT81" s="92"/>
      <c r="CU81" s="92"/>
      <c r="CV81" s="92"/>
      <c r="CW81" s="92"/>
      <c r="CX81" s="92"/>
      <c r="CY81" s="92"/>
      <c r="CZ81" s="92"/>
      <c r="DA81" s="92"/>
      <c r="DB81" s="92"/>
      <c r="DC81" s="92"/>
      <c r="DD81" s="92"/>
      <c r="DE81" s="92"/>
      <c r="DF81" s="92"/>
      <c r="DG81" s="92"/>
      <c r="DH81" s="92"/>
      <c r="DI81" s="92"/>
      <c r="DJ81" s="92"/>
      <c r="DK81" s="92"/>
      <c r="DL81" s="92"/>
      <c r="DM81" s="92"/>
      <c r="DN81" s="92"/>
      <c r="DO81" s="92"/>
      <c r="DP81" s="92"/>
      <c r="DQ81" s="92"/>
    </row>
    <row r="82" spans="4:121" s="4" customFormat="1">
      <c r="U82" s="5"/>
      <c r="V82" s="5"/>
      <c r="W82" s="77"/>
      <c r="X82" s="77"/>
      <c r="Y82" s="77"/>
      <c r="Z82" s="77"/>
      <c r="AA82" s="77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  <c r="DQ82" s="92"/>
    </row>
    <row r="83" spans="4:121" s="4" customFormat="1">
      <c r="U83" s="5"/>
      <c r="V83" s="5"/>
      <c r="W83" s="77"/>
      <c r="X83" s="77"/>
      <c r="Y83" s="77"/>
      <c r="Z83" s="77"/>
      <c r="AA83" s="77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92"/>
      <c r="CX83" s="92"/>
      <c r="CY83" s="92"/>
      <c r="CZ83" s="92"/>
      <c r="DA83" s="92"/>
      <c r="DB83" s="92"/>
      <c r="DC83" s="92"/>
      <c r="DD83" s="92"/>
      <c r="DE83" s="92"/>
      <c r="DF83" s="92"/>
      <c r="DG83" s="92"/>
      <c r="DH83" s="92"/>
      <c r="DI83" s="92"/>
      <c r="DJ83" s="92"/>
      <c r="DK83" s="92"/>
      <c r="DL83" s="92"/>
      <c r="DM83" s="92"/>
      <c r="DN83" s="92"/>
      <c r="DO83" s="92"/>
      <c r="DP83" s="92"/>
      <c r="DQ83" s="92"/>
    </row>
    <row r="84" spans="4:121" s="4" customFormat="1">
      <c r="U84" s="5"/>
      <c r="V84" s="5"/>
      <c r="W84" s="77"/>
      <c r="X84" s="77"/>
      <c r="Y84" s="77"/>
      <c r="Z84" s="77"/>
      <c r="AA84" s="77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92"/>
      <c r="DF84" s="92"/>
      <c r="DG84" s="92"/>
      <c r="DH84" s="92"/>
      <c r="DI84" s="92"/>
      <c r="DJ84" s="92"/>
      <c r="DK84" s="92"/>
      <c r="DL84" s="92"/>
      <c r="DM84" s="92"/>
      <c r="DN84" s="92"/>
      <c r="DO84" s="92"/>
      <c r="DP84" s="92"/>
      <c r="DQ84" s="92"/>
    </row>
    <row r="85" spans="4:121" s="4" customFormat="1">
      <c r="U85" s="5"/>
      <c r="V85" s="5"/>
      <c r="W85" s="77"/>
      <c r="X85" s="77"/>
      <c r="Y85" s="77"/>
      <c r="Z85" s="77"/>
      <c r="AA85" s="77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  <c r="CA85" s="92"/>
      <c r="CB85" s="92"/>
      <c r="CC85" s="92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92"/>
      <c r="CW85" s="92"/>
      <c r="CX85" s="92"/>
      <c r="CY85" s="92"/>
      <c r="CZ85" s="92"/>
      <c r="DA85" s="92"/>
      <c r="DB85" s="92"/>
      <c r="DC85" s="92"/>
      <c r="DD85" s="92"/>
      <c r="DE85" s="92"/>
      <c r="DF85" s="92"/>
      <c r="DG85" s="92"/>
      <c r="DH85" s="92"/>
      <c r="DI85" s="92"/>
      <c r="DJ85" s="92"/>
      <c r="DK85" s="92"/>
      <c r="DL85" s="92"/>
      <c r="DM85" s="92"/>
      <c r="DN85" s="92"/>
      <c r="DO85" s="92"/>
      <c r="DP85" s="92"/>
      <c r="DQ85" s="92"/>
    </row>
    <row r="86" spans="4:121" s="4" customFormat="1">
      <c r="F86" s="81"/>
      <c r="U86" s="5"/>
      <c r="V86" s="5"/>
      <c r="W86" s="77"/>
      <c r="X86" s="77"/>
      <c r="Y86" s="77"/>
      <c r="Z86" s="77"/>
      <c r="AA86" s="77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  <c r="CW86" s="92"/>
      <c r="CX86" s="92"/>
      <c r="CY86" s="92"/>
      <c r="CZ86" s="92"/>
      <c r="DA86" s="92"/>
      <c r="DB86" s="92"/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  <c r="DQ86" s="92"/>
    </row>
    <row r="87" spans="4:121" s="4" customFormat="1">
      <c r="U87" s="5"/>
      <c r="V87" s="5"/>
      <c r="W87" s="77"/>
      <c r="X87" s="77"/>
      <c r="Y87" s="77"/>
      <c r="Z87" s="77"/>
      <c r="AA87" s="77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  <c r="DQ87" s="92"/>
    </row>
    <row r="88" spans="4:121" s="4" customFormat="1">
      <c r="U88" s="5"/>
      <c r="V88" s="5"/>
      <c r="W88" s="77"/>
      <c r="X88" s="77"/>
      <c r="Y88" s="77"/>
      <c r="Z88" s="77"/>
      <c r="AA88" s="77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92"/>
      <c r="CW88" s="92"/>
      <c r="CX88" s="92"/>
      <c r="CY88" s="92"/>
      <c r="CZ88" s="92"/>
      <c r="DA88" s="92"/>
      <c r="DB88" s="92"/>
      <c r="DC88" s="92"/>
      <c r="DD88" s="92"/>
      <c r="DE88" s="92"/>
      <c r="DF88" s="92"/>
      <c r="DG88" s="92"/>
      <c r="DH88" s="92"/>
      <c r="DI88" s="92"/>
      <c r="DJ88" s="92"/>
      <c r="DK88" s="92"/>
      <c r="DL88" s="92"/>
      <c r="DM88" s="92"/>
      <c r="DN88" s="92"/>
      <c r="DO88" s="92"/>
      <c r="DP88" s="92"/>
      <c r="DQ88" s="92"/>
    </row>
    <row r="89" spans="4:121" s="4" customFormat="1">
      <c r="U89" s="5"/>
      <c r="V89" s="5"/>
      <c r="W89" s="77"/>
      <c r="X89" s="77"/>
      <c r="Y89" s="77"/>
      <c r="Z89" s="77"/>
      <c r="AA89" s="77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  <c r="CA89" s="92"/>
      <c r="CB89" s="92"/>
      <c r="CC89" s="92"/>
      <c r="CD89" s="92"/>
      <c r="CE89" s="92"/>
      <c r="CF89" s="92"/>
      <c r="CG89" s="92"/>
      <c r="CH89" s="92"/>
      <c r="CI89" s="92"/>
      <c r="CJ89" s="92"/>
      <c r="CK89" s="92"/>
      <c r="CL89" s="92"/>
      <c r="CM89" s="92"/>
      <c r="CN89" s="92"/>
      <c r="CO89" s="92"/>
      <c r="CP89" s="92"/>
      <c r="CQ89" s="92"/>
      <c r="CR89" s="92"/>
      <c r="CS89" s="92"/>
      <c r="CT89" s="92"/>
      <c r="CU89" s="92"/>
      <c r="CV89" s="92"/>
      <c r="CW89" s="92"/>
      <c r="CX89" s="92"/>
      <c r="CY89" s="92"/>
      <c r="CZ89" s="92"/>
      <c r="DA89" s="92"/>
      <c r="DB89" s="92"/>
      <c r="DC89" s="92"/>
      <c r="DD89" s="92"/>
      <c r="DE89" s="92"/>
      <c r="DF89" s="92"/>
      <c r="DG89" s="92"/>
      <c r="DH89" s="92"/>
      <c r="DI89" s="92"/>
      <c r="DJ89" s="92"/>
      <c r="DK89" s="92"/>
      <c r="DL89" s="92"/>
      <c r="DM89" s="92"/>
      <c r="DN89" s="92"/>
      <c r="DO89" s="92"/>
      <c r="DP89" s="92"/>
      <c r="DQ89" s="92"/>
    </row>
    <row r="90" spans="4:121" s="4" customFormat="1">
      <c r="U90" s="5"/>
      <c r="V90" s="5"/>
      <c r="W90" s="77"/>
      <c r="X90" s="77"/>
      <c r="Y90" s="77"/>
      <c r="Z90" s="77"/>
      <c r="AA90" s="77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92"/>
      <c r="CW90" s="92"/>
      <c r="CX90" s="92"/>
      <c r="CY90" s="92"/>
      <c r="CZ90" s="92"/>
      <c r="DA90" s="92"/>
      <c r="DB90" s="92"/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  <c r="DQ90" s="92"/>
    </row>
    <row r="91" spans="4:121" s="4" customFormat="1" ht="15.6">
      <c r="D91" s="82"/>
      <c r="U91" s="5"/>
      <c r="V91" s="5"/>
      <c r="W91" s="77"/>
      <c r="X91" s="77"/>
      <c r="Y91" s="77"/>
      <c r="Z91" s="77"/>
      <c r="AA91" s="77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  <c r="BZ91" s="92"/>
      <c r="CA91" s="92"/>
      <c r="CB91" s="92"/>
      <c r="CC91" s="92"/>
      <c r="CD91" s="92"/>
      <c r="CE91" s="92"/>
      <c r="CF91" s="92"/>
      <c r="CG91" s="92"/>
      <c r="CH91" s="92"/>
      <c r="CI91" s="92"/>
      <c r="CJ91" s="92"/>
      <c r="CK91" s="92"/>
      <c r="CL91" s="92"/>
      <c r="CM91" s="92"/>
      <c r="CN91" s="92"/>
      <c r="CO91" s="92"/>
      <c r="CP91" s="92"/>
      <c r="CQ91" s="92"/>
      <c r="CR91" s="92"/>
      <c r="CS91" s="92"/>
      <c r="CT91" s="92"/>
      <c r="CU91" s="92"/>
      <c r="CV91" s="92"/>
      <c r="CW91" s="92"/>
      <c r="CX91" s="92"/>
      <c r="CY91" s="92"/>
      <c r="CZ91" s="92"/>
      <c r="DA91" s="92"/>
      <c r="DB91" s="92"/>
      <c r="DC91" s="92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92"/>
      <c r="DQ91" s="92"/>
    </row>
    <row r="92" spans="4:121" s="4" customFormat="1" ht="15.6">
      <c r="D92" s="82"/>
      <c r="V92" s="5"/>
      <c r="W92" s="77"/>
      <c r="X92" s="77"/>
      <c r="Y92" s="77"/>
      <c r="Z92" s="77"/>
      <c r="AA92" s="77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92"/>
      <c r="CW92" s="92"/>
      <c r="CX92" s="92"/>
      <c r="CY92" s="92"/>
      <c r="CZ92" s="92"/>
      <c r="DA92" s="92"/>
      <c r="DB92" s="92"/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  <c r="DQ92" s="92"/>
    </row>
    <row r="93" spans="4:121" s="4" customFormat="1" ht="15.6">
      <c r="D93" s="82"/>
      <c r="V93" s="5"/>
      <c r="W93" s="77"/>
      <c r="X93" s="77"/>
      <c r="Y93" s="77"/>
      <c r="Z93" s="77"/>
      <c r="AA93" s="77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  <c r="CC93" s="92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/>
      <c r="CQ93" s="92"/>
      <c r="CR93" s="92"/>
      <c r="CS93" s="92"/>
      <c r="CT93" s="92"/>
      <c r="CU93" s="92"/>
      <c r="CV93" s="92"/>
      <c r="CW93" s="92"/>
      <c r="CX93" s="92"/>
      <c r="CY93" s="92"/>
      <c r="CZ93" s="92"/>
      <c r="DA93" s="92"/>
      <c r="DB93" s="92"/>
      <c r="DC93" s="92"/>
      <c r="DD93" s="92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2"/>
      <c r="DP93" s="92"/>
      <c r="DQ93" s="92"/>
    </row>
    <row r="94" spans="4:121" s="4" customFormat="1" ht="15.6">
      <c r="D94" s="82"/>
      <c r="V94" s="5"/>
      <c r="W94" s="77"/>
      <c r="X94" s="77"/>
      <c r="Y94" s="77"/>
      <c r="Z94" s="77"/>
      <c r="AA94" s="77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2"/>
      <c r="CZ94" s="92"/>
      <c r="DA94" s="92"/>
      <c r="DB94" s="92"/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  <c r="DQ94" s="92"/>
    </row>
    <row r="95" spans="4:121" s="4" customFormat="1" ht="15.6">
      <c r="D95" s="82"/>
      <c r="V95" s="5"/>
      <c r="W95" s="77"/>
      <c r="X95" s="77"/>
      <c r="Y95" s="77"/>
      <c r="Z95" s="77"/>
      <c r="AA95" s="77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</row>
    <row r="96" spans="4:121" s="4" customFormat="1" ht="15.6">
      <c r="D96" s="82"/>
      <c r="V96" s="5"/>
      <c r="W96" s="77"/>
      <c r="X96" s="77"/>
      <c r="Y96" s="77"/>
      <c r="Z96" s="77"/>
      <c r="AA96" s="77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2"/>
      <c r="CZ96" s="92"/>
      <c r="DA96" s="92"/>
      <c r="DB96" s="92"/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  <c r="DQ96" s="92"/>
    </row>
    <row r="97" spans="4:121" s="4" customFormat="1" ht="15.6">
      <c r="D97" s="83"/>
      <c r="V97" s="5"/>
      <c r="W97" s="77"/>
      <c r="X97" s="77"/>
      <c r="Y97" s="77"/>
      <c r="Z97" s="77"/>
      <c r="AA97" s="77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2"/>
      <c r="CZ97" s="92"/>
      <c r="DA97" s="92"/>
      <c r="DB97" s="92"/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  <c r="DQ97" s="92"/>
    </row>
    <row r="98" spans="4:121" s="4" customFormat="1" ht="15.6">
      <c r="D98" s="83"/>
      <c r="V98" s="5"/>
      <c r="W98" s="77"/>
      <c r="X98" s="77"/>
      <c r="Y98" s="77"/>
      <c r="Z98" s="77"/>
      <c r="AA98" s="77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</row>
    <row r="99" spans="4:121" s="4" customFormat="1" ht="15.6">
      <c r="D99" s="82"/>
      <c r="E99" s="84"/>
      <c r="F99" s="81"/>
      <c r="G99" s="74"/>
      <c r="V99" s="5"/>
      <c r="W99" s="77"/>
      <c r="X99" s="77"/>
      <c r="Y99" s="77"/>
      <c r="Z99" s="77"/>
      <c r="AA99" s="77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</row>
    <row r="100" spans="4:121" s="4" customFormat="1" ht="15.6">
      <c r="D100" s="82"/>
      <c r="V100" s="5"/>
      <c r="W100" s="77"/>
      <c r="X100" s="77"/>
      <c r="Y100" s="77"/>
      <c r="Z100" s="77"/>
      <c r="AA100" s="77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  <c r="DQ100" s="92"/>
    </row>
    <row r="101" spans="4:121" s="4" customFormat="1" ht="15.6">
      <c r="D101" s="82"/>
      <c r="V101" s="5"/>
      <c r="W101" s="77"/>
      <c r="X101" s="77"/>
      <c r="Y101" s="77"/>
      <c r="Z101" s="77"/>
      <c r="AA101" s="77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</row>
    <row r="102" spans="4:121" s="4" customFormat="1" ht="15.6">
      <c r="D102" s="85"/>
      <c r="V102" s="5"/>
      <c r="W102" s="77"/>
      <c r="X102" s="77"/>
      <c r="Y102" s="77"/>
      <c r="Z102" s="77"/>
      <c r="AA102" s="77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  <c r="DQ102" s="92"/>
    </row>
    <row r="103" spans="4:121" s="4" customFormat="1" ht="15.6">
      <c r="D103" s="85"/>
      <c r="V103" s="5"/>
      <c r="W103" s="77"/>
      <c r="X103" s="77"/>
      <c r="Y103" s="77"/>
      <c r="Z103" s="77"/>
      <c r="AA103" s="77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  <c r="CA103" s="92"/>
      <c r="CB103" s="92"/>
      <c r="CC103" s="92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2"/>
      <c r="CZ103" s="92"/>
      <c r="DA103" s="92"/>
      <c r="DB103" s="92"/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  <c r="DQ103" s="92"/>
    </row>
    <row r="104" spans="4:121" s="4" customFormat="1" ht="15.6">
      <c r="D104" s="85"/>
      <c r="W104" s="77"/>
      <c r="X104" s="77"/>
      <c r="Y104" s="77"/>
      <c r="Z104" s="77"/>
      <c r="AA104" s="77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  <c r="DQ104" s="92"/>
    </row>
    <row r="105" spans="4:121" s="4" customFormat="1" ht="15.6">
      <c r="D105" s="85"/>
      <c r="W105" s="77"/>
      <c r="X105" s="77"/>
      <c r="Y105" s="77"/>
      <c r="Z105" s="77"/>
      <c r="AA105" s="77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  <c r="BZ105" s="92"/>
      <c r="CA105" s="92"/>
      <c r="CB105" s="92"/>
      <c r="CC105" s="92"/>
      <c r="CD105" s="92"/>
      <c r="CE105" s="92"/>
      <c r="CF105" s="92"/>
      <c r="CG105" s="92"/>
      <c r="CH105" s="92"/>
      <c r="CI105" s="92"/>
      <c r="CJ105" s="92"/>
      <c r="CK105" s="92"/>
      <c r="CL105" s="92"/>
      <c r="CM105" s="92"/>
      <c r="CN105" s="92"/>
      <c r="CO105" s="92"/>
      <c r="CP105" s="92"/>
      <c r="CQ105" s="92"/>
      <c r="CR105" s="92"/>
      <c r="CS105" s="92"/>
      <c r="CT105" s="92"/>
      <c r="CU105" s="92"/>
      <c r="CV105" s="92"/>
      <c r="CW105" s="92"/>
      <c r="CX105" s="92"/>
      <c r="CY105" s="92"/>
      <c r="CZ105" s="92"/>
      <c r="DA105" s="92"/>
      <c r="DB105" s="92"/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  <c r="DQ105" s="92"/>
    </row>
    <row r="106" spans="4:121" s="4" customFormat="1" ht="15.6">
      <c r="D106" s="85"/>
      <c r="W106" s="77"/>
      <c r="X106" s="77"/>
      <c r="Y106" s="77"/>
      <c r="Z106" s="77"/>
      <c r="AA106" s="77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  <c r="CW106" s="92"/>
      <c r="CX106" s="92"/>
      <c r="CY106" s="92"/>
      <c r="CZ106" s="92"/>
      <c r="DA106" s="92"/>
      <c r="DB106" s="92"/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  <c r="DQ106" s="92"/>
    </row>
    <row r="107" spans="4:121" s="4" customFormat="1">
      <c r="W107" s="77"/>
      <c r="X107" s="77"/>
      <c r="Y107" s="77"/>
      <c r="Z107" s="77"/>
      <c r="AA107" s="77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</row>
    <row r="108" spans="4:121" s="4" customFormat="1">
      <c r="W108" s="77"/>
      <c r="X108" s="77"/>
      <c r="Y108" s="77"/>
      <c r="Z108" s="77"/>
      <c r="AA108" s="77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  <c r="CW108" s="92"/>
      <c r="CX108" s="92"/>
      <c r="CY108" s="92"/>
      <c r="CZ108" s="92"/>
      <c r="DA108" s="92"/>
      <c r="DB108" s="92"/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  <c r="DQ108" s="92"/>
    </row>
    <row r="109" spans="4:121" s="4" customFormat="1">
      <c r="W109" s="77"/>
      <c r="X109" s="77"/>
      <c r="Y109" s="77"/>
      <c r="Z109" s="77"/>
      <c r="AA109" s="77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  <c r="CA109" s="92"/>
      <c r="CB109" s="92"/>
      <c r="CC109" s="92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  <c r="CT109" s="92"/>
      <c r="CU109" s="92"/>
      <c r="CV109" s="92"/>
      <c r="CW109" s="92"/>
      <c r="CX109" s="92"/>
      <c r="CY109" s="92"/>
      <c r="CZ109" s="92"/>
      <c r="DA109" s="92"/>
      <c r="DB109" s="92"/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  <c r="DQ109" s="92"/>
    </row>
    <row r="110" spans="4:121" s="4" customFormat="1">
      <c r="W110" s="77"/>
      <c r="X110" s="77"/>
      <c r="Y110" s="77"/>
      <c r="Z110" s="77"/>
      <c r="AA110" s="77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  <c r="DQ110" s="92"/>
    </row>
    <row r="111" spans="4:121" s="4" customFormat="1">
      <c r="W111" s="77"/>
      <c r="X111" s="77"/>
      <c r="Y111" s="77"/>
      <c r="Z111" s="77"/>
      <c r="AA111" s="77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  <c r="BZ111" s="92"/>
      <c r="CA111" s="92"/>
      <c r="CB111" s="92"/>
      <c r="CC111" s="92"/>
      <c r="CD111" s="92"/>
      <c r="CE111" s="92"/>
      <c r="CF111" s="92"/>
      <c r="CG111" s="92"/>
      <c r="CH111" s="92"/>
      <c r="CI111" s="92"/>
      <c r="CJ111" s="92"/>
      <c r="CK111" s="92"/>
      <c r="CL111" s="92"/>
      <c r="CM111" s="92"/>
      <c r="CN111" s="92"/>
      <c r="CO111" s="92"/>
      <c r="CP111" s="92"/>
      <c r="CQ111" s="92"/>
      <c r="CR111" s="92"/>
      <c r="CS111" s="92"/>
      <c r="CT111" s="92"/>
      <c r="CU111" s="92"/>
      <c r="CV111" s="92"/>
      <c r="CW111" s="92"/>
      <c r="CX111" s="92"/>
      <c r="CY111" s="92"/>
      <c r="CZ111" s="92"/>
      <c r="DA111" s="92"/>
      <c r="DB111" s="92"/>
      <c r="DC111" s="92"/>
      <c r="DD111" s="92"/>
      <c r="DE111" s="92"/>
      <c r="DF111" s="92"/>
      <c r="DG111" s="92"/>
      <c r="DH111" s="92"/>
      <c r="DI111" s="92"/>
      <c r="DJ111" s="92"/>
      <c r="DK111" s="92"/>
      <c r="DL111" s="92"/>
      <c r="DM111" s="92"/>
      <c r="DN111" s="92"/>
      <c r="DO111" s="92"/>
      <c r="DP111" s="92"/>
      <c r="DQ111" s="92"/>
    </row>
    <row r="112" spans="4:121" s="4" customFormat="1">
      <c r="W112" s="77"/>
      <c r="X112" s="77"/>
      <c r="Y112" s="77"/>
      <c r="Z112" s="77"/>
      <c r="AA112" s="77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  <c r="DQ112" s="92"/>
    </row>
    <row r="113" spans="23:121" s="4" customFormat="1">
      <c r="W113" s="77"/>
      <c r="X113" s="77"/>
      <c r="Y113" s="77"/>
      <c r="Z113" s="77"/>
      <c r="AA113" s="77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/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2"/>
      <c r="CZ113" s="92"/>
      <c r="DA113" s="92"/>
      <c r="DB113" s="92"/>
      <c r="DC113" s="92"/>
      <c r="DD113" s="92"/>
      <c r="DE113" s="92"/>
      <c r="DF113" s="92"/>
      <c r="DG113" s="92"/>
      <c r="DH113" s="92"/>
      <c r="DI113" s="92"/>
      <c r="DJ113" s="92"/>
      <c r="DK113" s="92"/>
      <c r="DL113" s="92"/>
      <c r="DM113" s="92"/>
      <c r="DN113" s="92"/>
      <c r="DO113" s="92"/>
      <c r="DP113" s="92"/>
      <c r="DQ113" s="92"/>
    </row>
  </sheetData>
  <mergeCells count="34">
    <mergeCell ref="B2:G2"/>
    <mergeCell ref="B15:D15"/>
    <mergeCell ref="F15:H15"/>
    <mergeCell ref="J5:L5"/>
    <mergeCell ref="J7:L11"/>
    <mergeCell ref="B26:D26"/>
    <mergeCell ref="F26:H26"/>
    <mergeCell ref="N26:P26"/>
    <mergeCell ref="R26:T26"/>
    <mergeCell ref="J22:L22"/>
    <mergeCell ref="B22:D22"/>
    <mergeCell ref="F22:H22"/>
    <mergeCell ref="N22:P22"/>
    <mergeCell ref="R22:T22"/>
    <mergeCell ref="B24:D25"/>
    <mergeCell ref="F24:H25"/>
    <mergeCell ref="N24:P25"/>
    <mergeCell ref="R24:T25"/>
    <mergeCell ref="W4:X4"/>
    <mergeCell ref="B19:D19"/>
    <mergeCell ref="F19:H19"/>
    <mergeCell ref="B5:H5"/>
    <mergeCell ref="N5:T5"/>
    <mergeCell ref="N15:P15"/>
    <mergeCell ref="R15:T15"/>
    <mergeCell ref="N19:P19"/>
    <mergeCell ref="R19:T19"/>
    <mergeCell ref="V1:V4"/>
    <mergeCell ref="R2:S2"/>
    <mergeCell ref="J15:L15"/>
    <mergeCell ref="B17:D18"/>
    <mergeCell ref="F17:H18"/>
    <mergeCell ref="N17:P18"/>
    <mergeCell ref="R17:T18"/>
  </mergeCells>
  <phoneticPr fontId="39" type="noConversion"/>
  <conditionalFormatting sqref="D91:D94">
    <cfRule type="expression" dxfId="39" priority="11">
      <formula>$D91&lt;0</formula>
    </cfRule>
    <cfRule type="expression" dxfId="38" priority="12">
      <formula>$D91&gt;0</formula>
    </cfRule>
  </conditionalFormatting>
  <conditionalFormatting sqref="D95">
    <cfRule type="expression" dxfId="37" priority="9">
      <formula>$D$95&lt;0</formula>
    </cfRule>
    <cfRule type="expression" dxfId="36" priority="10">
      <formula>$D$95&gt;0</formula>
    </cfRule>
  </conditionalFormatting>
  <conditionalFormatting sqref="D96">
    <cfRule type="expression" dxfId="35" priority="7">
      <formula>$D$96&gt;0</formula>
    </cfRule>
    <cfRule type="expression" dxfId="34" priority="8">
      <formula>$D$96&lt;0</formula>
    </cfRule>
  </conditionalFormatting>
  <pageMargins left="0.25" right="0.25" top="0.75" bottom="0.75" header="0.3" footer="0.3"/>
  <pageSetup scale="77" orientation="landscape" r:id="rId1"/>
  <colBreaks count="1" manualBreakCount="1">
    <brk id="21" max="29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136" r:id="rId4" name="List Box 9912">
              <controlPr defaultSize="0" autoLine="0" autoPict="0">
                <anchor moveWithCells="1">
                  <from>
                    <xdr:col>20</xdr:col>
                    <xdr:colOff>99060</xdr:colOff>
                    <xdr:row>4</xdr:row>
                    <xdr:rowOff>7620</xdr:rowOff>
                  </from>
                  <to>
                    <xdr:col>22</xdr:col>
                    <xdr:colOff>137160</xdr:colOff>
                    <xdr:row>12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53"/>
  <sheetViews>
    <sheetView showGridLines="0" topLeftCell="A5" zoomScale="90" zoomScaleNormal="90" workbookViewId="0">
      <selection activeCell="K17" sqref="K17"/>
    </sheetView>
  </sheetViews>
  <sheetFormatPr defaultColWidth="0" defaultRowHeight="14.4" zeroHeight="1"/>
  <cols>
    <col min="1" max="1" width="1.44140625" style="1" customWidth="1"/>
    <col min="2" max="2" width="2" style="1" customWidth="1"/>
    <col min="3" max="3" width="0.6640625" style="2" customWidth="1"/>
    <col min="4" max="4" width="32.6640625" style="1" bestFit="1" customWidth="1"/>
    <col min="5" max="5" width="11.44140625" style="1" customWidth="1"/>
    <col min="6" max="6" width="10.109375" style="1" customWidth="1"/>
    <col min="7" max="17" width="11.44140625" style="1" customWidth="1"/>
    <col min="18" max="18" width="2.44140625" style="59" hidden="1" customWidth="1"/>
    <col min="19" max="19" width="28.44140625" style="41" hidden="1" customWidth="1"/>
    <col min="20" max="20" width="11.44140625" style="41" hidden="1" customWidth="1"/>
    <col min="21" max="21" width="0" style="41" hidden="1" customWidth="1"/>
    <col min="22" max="26" width="11.44140625" style="1" customWidth="1"/>
    <col min="27" max="16384" width="11.44140625" style="1" hidden="1"/>
  </cols>
  <sheetData>
    <row r="1" spans="2:23" ht="24" hidden="1" customHeight="1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V1" s="41"/>
      <c r="W1" s="41"/>
    </row>
    <row r="2" spans="2:23" ht="21.75" hidden="1" customHeight="1">
      <c r="B2" s="41"/>
      <c r="C2" s="6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103"/>
      <c r="V2" s="41"/>
      <c r="W2" s="41"/>
    </row>
    <row r="3" spans="2:23" ht="10.5" hidden="1" customHeight="1">
      <c r="B3" s="41"/>
      <c r="C3" s="62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103"/>
      <c r="V3" s="41"/>
      <c r="W3" s="41"/>
    </row>
    <row r="4" spans="2:23" ht="4.5" hidden="1" customHeight="1">
      <c r="B4" s="41"/>
      <c r="C4" s="62"/>
      <c r="D4" s="41"/>
      <c r="E4" s="41"/>
      <c r="F4" s="41"/>
      <c r="G4" s="41"/>
      <c r="H4" s="41"/>
      <c r="I4" s="41"/>
      <c r="J4" s="63"/>
      <c r="K4" s="41"/>
      <c r="L4" s="41"/>
      <c r="M4" s="41"/>
      <c r="N4" s="41"/>
      <c r="O4" s="41"/>
      <c r="P4" s="41"/>
      <c r="V4" s="41"/>
      <c r="W4" s="41"/>
    </row>
    <row r="5" spans="2:23" ht="39" customHeight="1" thickBot="1">
      <c r="B5" s="41"/>
      <c r="C5" s="62"/>
      <c r="D5" s="117" t="s">
        <v>276</v>
      </c>
      <c r="E5" s="76" t="s">
        <v>277</v>
      </c>
      <c r="F5" s="76" t="s">
        <v>278</v>
      </c>
      <c r="G5" s="76" t="s">
        <v>279</v>
      </c>
      <c r="H5" s="76" t="s">
        <v>280</v>
      </c>
      <c r="I5" s="76" t="s">
        <v>281</v>
      </c>
      <c r="J5" s="76" t="s">
        <v>282</v>
      </c>
      <c r="K5" s="76" t="s">
        <v>283</v>
      </c>
      <c r="L5" s="76" t="s">
        <v>284</v>
      </c>
      <c r="M5" s="76" t="s">
        <v>285</v>
      </c>
      <c r="N5" s="76" t="s">
        <v>286</v>
      </c>
      <c r="O5" s="76" t="s">
        <v>287</v>
      </c>
      <c r="P5" s="76" t="s">
        <v>288</v>
      </c>
      <c r="Q5" s="111" t="s">
        <v>289</v>
      </c>
      <c r="R5" s="103"/>
      <c r="V5" s="41"/>
      <c r="W5" s="41"/>
    </row>
    <row r="6" spans="2:23" s="3" customFormat="1" ht="36.75" hidden="1" customHeight="1" thickBot="1">
      <c r="C6" s="118"/>
      <c r="D6" s="117" t="s">
        <v>276</v>
      </c>
      <c r="E6" s="76" t="s">
        <v>0</v>
      </c>
      <c r="F6" s="76" t="s">
        <v>1</v>
      </c>
      <c r="G6" s="76" t="s">
        <v>2</v>
      </c>
      <c r="H6" s="76" t="s">
        <v>3</v>
      </c>
      <c r="I6" s="76" t="s">
        <v>4</v>
      </c>
      <c r="J6" s="76" t="s">
        <v>5</v>
      </c>
      <c r="K6" s="76" t="s">
        <v>6</v>
      </c>
      <c r="L6" s="76" t="s">
        <v>7</v>
      </c>
      <c r="M6" s="76" t="s">
        <v>8</v>
      </c>
      <c r="N6" s="76" t="s">
        <v>9</v>
      </c>
      <c r="O6" s="76" t="s">
        <v>10</v>
      </c>
      <c r="P6" s="76" t="s">
        <v>11</v>
      </c>
      <c r="Q6" s="111" t="s">
        <v>289</v>
      </c>
      <c r="R6" s="113"/>
      <c r="S6" s="112" t="s">
        <v>306</v>
      </c>
      <c r="T6" s="102" t="s">
        <v>307</v>
      </c>
      <c r="U6" s="60"/>
    </row>
    <row r="7" spans="2:23" ht="20.25" customHeight="1">
      <c r="B7" s="185"/>
      <c r="C7" s="114"/>
      <c r="D7" s="139" t="s">
        <v>290</v>
      </c>
      <c r="E7" s="152">
        <v>4501</v>
      </c>
      <c r="F7" s="152">
        <v>4800</v>
      </c>
      <c r="G7" s="152">
        <v>4300</v>
      </c>
      <c r="H7" s="152">
        <v>5100</v>
      </c>
      <c r="I7" s="152">
        <v>4800</v>
      </c>
      <c r="J7" s="152">
        <v>5200</v>
      </c>
      <c r="K7" s="152">
        <v>5100</v>
      </c>
      <c r="L7" s="152">
        <v>4100</v>
      </c>
      <c r="M7" s="152">
        <v>5200</v>
      </c>
      <c r="N7" s="152">
        <v>5184</v>
      </c>
      <c r="O7" s="152">
        <v>4800</v>
      </c>
      <c r="P7" s="152">
        <v>4625</v>
      </c>
      <c r="Q7" s="140">
        <f>IF($T$7=$C$53,SUM(E7:P7),IF($E$6=$T$7,E7,IF($F$6=$T$7,F7,IF($G$6=$T$7,G7,IF($H$6=$T$7,H7,IF($I$6=$T$7,I7,IF($J$6=$T$7,J7,IF($K$6=$T$7,K7,IF($L$6=$T$7,L7,IF($M$6=$T$7,M7,IF($N$6=$T$7,N7,IF($O$6=$T$7,O7,P7))))))))))))</f>
        <v>5100</v>
      </c>
      <c r="R7" s="104"/>
      <c r="S7" s="122">
        <f t="shared" ref="S7:S24" si="0">IFERROR(IF($T$7=$E$6,0,IF($T$7=$F$6,F7/E7-1,IF($T$7=$G$6,G7/F7-1,IF($T$7=$H$6,H7/G7-1,IF($T$7=$I$6,I7/H7-1,IF($T$7=$J$6,J7/I7-1,IF($T$7=$K$6,K7/J7-1,IF($T$7=$L$6,L7/K7-1,IF($T$7=$M$6,M7/L7-1,IF($T$7=$N$6,N7/M7-1,IF($T$7=$O$6,O7/N7-1,IF($T$7=$P$6,P7/O7-1,"")))))))))))),0)</f>
        <v>0.18604651162790709</v>
      </c>
      <c r="T7" s="121" t="str">
        <f>DashBoard!V5</f>
        <v>APR</v>
      </c>
    </row>
    <row r="8" spans="2:23" ht="20.25" customHeight="1">
      <c r="B8" s="185"/>
      <c r="C8" s="119"/>
      <c r="D8" s="141" t="s">
        <v>315</v>
      </c>
      <c r="E8" s="152">
        <v>1250</v>
      </c>
      <c r="F8" s="152">
        <v>1259</v>
      </c>
      <c r="G8" s="152">
        <v>1255</v>
      </c>
      <c r="H8" s="152">
        <v>1252</v>
      </c>
      <c r="I8" s="152">
        <v>1235</v>
      </c>
      <c r="J8" s="152">
        <v>1242</v>
      </c>
      <c r="K8" s="152">
        <v>1226</v>
      </c>
      <c r="L8" s="152">
        <v>1237</v>
      </c>
      <c r="M8" s="152">
        <v>1262</v>
      </c>
      <c r="N8" s="152">
        <v>1201</v>
      </c>
      <c r="O8" s="152">
        <v>1236</v>
      </c>
      <c r="P8" s="152">
        <v>1224</v>
      </c>
      <c r="Q8" s="140">
        <f>IF($T$7=$C$53,SUM(E8:P8),IF($E$6=$T$7,E8,IF($F$6=$T$7,F8,IF($G$6=$T$7,G8,IF($H$6=$T$7,H8,IF($I$6=$T$7,I8,IF($J$6=$T$7,J8,IF($K$6=$T$7,K8,IF($L$6=$T$7,L8,IF($M$6=$T$7,M8,IF($N$6=$T$7,N8,IF($O$6=$T$7,O8,P8))))))))))))</f>
        <v>1252</v>
      </c>
      <c r="R8" s="104"/>
      <c r="S8" s="122">
        <f t="shared" si="0"/>
        <v>-2.3904382470119057E-3</v>
      </c>
    </row>
    <row r="9" spans="2:23" ht="20.25" customHeight="1">
      <c r="B9" s="185"/>
      <c r="C9" s="119"/>
      <c r="D9" s="141" t="s">
        <v>291</v>
      </c>
      <c r="E9" s="142">
        <f t="shared" ref="E9:P9" si="1">E7-E8</f>
        <v>3251</v>
      </c>
      <c r="F9" s="142">
        <f t="shared" si="1"/>
        <v>3541</v>
      </c>
      <c r="G9" s="142">
        <f t="shared" si="1"/>
        <v>3045</v>
      </c>
      <c r="H9" s="142">
        <f t="shared" si="1"/>
        <v>3848</v>
      </c>
      <c r="I9" s="142">
        <f t="shared" si="1"/>
        <v>3565</v>
      </c>
      <c r="J9" s="142">
        <f t="shared" si="1"/>
        <v>3958</v>
      </c>
      <c r="K9" s="142">
        <f t="shared" si="1"/>
        <v>3874</v>
      </c>
      <c r="L9" s="142">
        <f t="shared" si="1"/>
        <v>2863</v>
      </c>
      <c r="M9" s="142">
        <f t="shared" si="1"/>
        <v>3938</v>
      </c>
      <c r="N9" s="142">
        <f t="shared" si="1"/>
        <v>3983</v>
      </c>
      <c r="O9" s="142">
        <f t="shared" si="1"/>
        <v>3564</v>
      </c>
      <c r="P9" s="142">
        <f t="shared" si="1"/>
        <v>3401</v>
      </c>
      <c r="Q9" s="140">
        <f>Q7-Q8</f>
        <v>3848</v>
      </c>
      <c r="R9" s="104"/>
      <c r="S9" s="122">
        <f t="shared" si="0"/>
        <v>0.26371100164203609</v>
      </c>
    </row>
    <row r="10" spans="2:23" ht="20.25" customHeight="1">
      <c r="B10" s="185"/>
      <c r="C10" s="114"/>
      <c r="D10" s="141" t="s">
        <v>292</v>
      </c>
      <c r="E10" s="153">
        <v>1751</v>
      </c>
      <c r="F10" s="153">
        <v>1800</v>
      </c>
      <c r="G10" s="153">
        <v>1785</v>
      </c>
      <c r="H10" s="153">
        <v>1722</v>
      </c>
      <c r="I10" s="153">
        <v>1744</v>
      </c>
      <c r="J10" s="153">
        <v>1751</v>
      </c>
      <c r="K10" s="153">
        <v>1794</v>
      </c>
      <c r="L10" s="153">
        <v>1850</v>
      </c>
      <c r="M10" s="153">
        <v>2002</v>
      </c>
      <c r="N10" s="153">
        <v>1738</v>
      </c>
      <c r="O10" s="153">
        <v>1558</v>
      </c>
      <c r="P10" s="153">
        <v>1444</v>
      </c>
      <c r="Q10" s="140">
        <f>IF($T$7=$C$53,SUM(E10:P10),IF($E$6=$T$7,E10,IF($F$6=$T$7,F10,IF($G$6=$T$7,G10,IF($H$6=$T$7,H10,IF($I$6=$T$7,I10,IF($J$6=$T$7,J10,IF($K$6=$T$7,K10,IF($L$6=$T$7,L10,IF($M$6=$T$7,M10,IF($N$6=$T$7,N10,IF($O$6=$T$7,O10,P10))))))))))))</f>
        <v>1722</v>
      </c>
      <c r="R10" s="105"/>
      <c r="S10" s="122">
        <f t="shared" si="0"/>
        <v>-3.5294117647058809E-2</v>
      </c>
    </row>
    <row r="11" spans="2:23" ht="20.25" customHeight="1">
      <c r="B11" s="185"/>
      <c r="C11" s="119"/>
      <c r="D11" s="141" t="s">
        <v>293</v>
      </c>
      <c r="E11" s="142">
        <f t="shared" ref="E11:P11" si="2">E9-E10</f>
        <v>1500</v>
      </c>
      <c r="F11" s="142">
        <f t="shared" si="2"/>
        <v>1741</v>
      </c>
      <c r="G11" s="142">
        <f t="shared" si="2"/>
        <v>1260</v>
      </c>
      <c r="H11" s="142">
        <f t="shared" si="2"/>
        <v>2126</v>
      </c>
      <c r="I11" s="142">
        <f t="shared" si="2"/>
        <v>1821</v>
      </c>
      <c r="J11" s="142">
        <f t="shared" si="2"/>
        <v>2207</v>
      </c>
      <c r="K11" s="142">
        <f t="shared" si="2"/>
        <v>2080</v>
      </c>
      <c r="L11" s="142">
        <f t="shared" si="2"/>
        <v>1013</v>
      </c>
      <c r="M11" s="142">
        <f t="shared" si="2"/>
        <v>1936</v>
      </c>
      <c r="N11" s="142">
        <f t="shared" si="2"/>
        <v>2245</v>
      </c>
      <c r="O11" s="142">
        <f t="shared" si="2"/>
        <v>2006</v>
      </c>
      <c r="P11" s="142">
        <f t="shared" si="2"/>
        <v>1957</v>
      </c>
      <c r="Q11" s="140">
        <f>+Q9-Q10</f>
        <v>2126</v>
      </c>
      <c r="R11" s="105"/>
      <c r="S11" s="122">
        <f t="shared" si="0"/>
        <v>0.6873015873015873</v>
      </c>
    </row>
    <row r="12" spans="2:23" ht="20.25" customHeight="1">
      <c r="B12" s="185"/>
      <c r="C12" s="114"/>
      <c r="D12" s="139" t="s">
        <v>294</v>
      </c>
      <c r="E12" s="152">
        <v>800</v>
      </c>
      <c r="F12" s="152">
        <v>1000</v>
      </c>
      <c r="G12" s="152">
        <v>962</v>
      </c>
      <c r="H12" s="152">
        <v>777</v>
      </c>
      <c r="I12" s="152">
        <v>1001</v>
      </c>
      <c r="J12" s="152">
        <v>750</v>
      </c>
      <c r="K12" s="152">
        <v>999</v>
      </c>
      <c r="L12" s="152">
        <v>888</v>
      </c>
      <c r="M12" s="152">
        <v>911</v>
      </c>
      <c r="N12" s="152">
        <v>781</v>
      </c>
      <c r="O12" s="152">
        <v>874</v>
      </c>
      <c r="P12" s="152">
        <v>980</v>
      </c>
      <c r="Q12" s="140">
        <f>IF($T$7=$C$53,SUM(E12:P12),IF($E$6=$T$7,E12,IF($F$6=$T$7,F12,IF($G$6=$T$7,G12,IF($H$6=$T$7,H12,IF($I$6=$T$7,I12,IF($J$6=$T$7,J12,IF($K$6=$T$7,K12,IF($L$6=$T$7,L12,IF($M$6=$T$7,M12,IF($N$6=$T$7,N12,IF($O$6=$T$7,O12,P12))))))))))))</f>
        <v>777</v>
      </c>
      <c r="R12" s="104"/>
      <c r="S12" s="122">
        <f t="shared" si="0"/>
        <v>-0.19230769230769229</v>
      </c>
    </row>
    <row r="13" spans="2:23" ht="20.25" customHeight="1">
      <c r="B13" s="185"/>
      <c r="C13" s="114"/>
      <c r="D13" s="143" t="s">
        <v>295</v>
      </c>
      <c r="E13" s="144">
        <f t="shared" ref="E13:P13" si="3">E11-E12</f>
        <v>700</v>
      </c>
      <c r="F13" s="144">
        <f t="shared" si="3"/>
        <v>741</v>
      </c>
      <c r="G13" s="144">
        <f t="shared" si="3"/>
        <v>298</v>
      </c>
      <c r="H13" s="144">
        <f t="shared" si="3"/>
        <v>1349</v>
      </c>
      <c r="I13" s="144">
        <f t="shared" si="3"/>
        <v>820</v>
      </c>
      <c r="J13" s="144">
        <f t="shared" si="3"/>
        <v>1457</v>
      </c>
      <c r="K13" s="144">
        <f t="shared" si="3"/>
        <v>1081</v>
      </c>
      <c r="L13" s="144">
        <f t="shared" si="3"/>
        <v>125</v>
      </c>
      <c r="M13" s="144">
        <f t="shared" si="3"/>
        <v>1025</v>
      </c>
      <c r="N13" s="144">
        <f t="shared" si="3"/>
        <v>1464</v>
      </c>
      <c r="O13" s="144">
        <f t="shared" si="3"/>
        <v>1132</v>
      </c>
      <c r="P13" s="144">
        <f t="shared" si="3"/>
        <v>977</v>
      </c>
      <c r="Q13" s="144">
        <f>+Q11-Q12</f>
        <v>1349</v>
      </c>
      <c r="R13" s="105"/>
      <c r="S13" s="122">
        <f t="shared" si="0"/>
        <v>3.526845637583893</v>
      </c>
    </row>
    <row r="14" spans="2:23" ht="20.25" customHeight="1">
      <c r="B14" s="185"/>
      <c r="C14" s="119"/>
      <c r="D14" s="139" t="s">
        <v>296</v>
      </c>
      <c r="E14" s="145">
        <f t="shared" ref="E14:P14" si="4">IFERROR(E13/E7,0)</f>
        <v>0.15552099533437014</v>
      </c>
      <c r="F14" s="145">
        <f t="shared" si="4"/>
        <v>0.15437500000000001</v>
      </c>
      <c r="G14" s="145">
        <f t="shared" si="4"/>
        <v>6.9302325581395346E-2</v>
      </c>
      <c r="H14" s="145">
        <f t="shared" si="4"/>
        <v>0.26450980392156864</v>
      </c>
      <c r="I14" s="145">
        <f t="shared" si="4"/>
        <v>0.17083333333333334</v>
      </c>
      <c r="J14" s="145">
        <f t="shared" si="4"/>
        <v>0.28019230769230768</v>
      </c>
      <c r="K14" s="145">
        <f t="shared" si="4"/>
        <v>0.2119607843137255</v>
      </c>
      <c r="L14" s="145">
        <f t="shared" si="4"/>
        <v>3.048780487804878E-2</v>
      </c>
      <c r="M14" s="145">
        <f t="shared" si="4"/>
        <v>0.19711538461538461</v>
      </c>
      <c r="N14" s="145">
        <f t="shared" si="4"/>
        <v>0.28240740740740738</v>
      </c>
      <c r="O14" s="145">
        <f t="shared" si="4"/>
        <v>0.23583333333333334</v>
      </c>
      <c r="P14" s="145">
        <f t="shared" si="4"/>
        <v>0.21124324324324326</v>
      </c>
      <c r="Q14" s="145">
        <f>IF($T$7=$C$53,SUM(E14:P14),IF($E$6=$T$7,E14,IF($F$6=$T$7,F14,IF($G$6=$T$7,G14,IF($H$6=$T$7,H14,IF($I$6=$T$7,I14,IF($J$6=$T$7,J14,IF($K$6=$T$7,K14,IF($L$6=$T$7,L14,IF($M$6=$T$7,M14,IF($N$6=$T$7,N14,IF($O$6=$T$7,O14,P14))))))))))))</f>
        <v>0.26450980392156864</v>
      </c>
      <c r="R14" s="106"/>
      <c r="S14" s="122">
        <f t="shared" si="0"/>
        <v>2.8167522042374</v>
      </c>
    </row>
    <row r="15" spans="2:23" ht="20.25" customHeight="1" thickBot="1">
      <c r="B15" s="185"/>
      <c r="C15" s="120"/>
      <c r="D15" s="146" t="s">
        <v>297</v>
      </c>
      <c r="E15" s="147">
        <f>E8+E10</f>
        <v>3001</v>
      </c>
      <c r="F15" s="147">
        <f t="shared" ref="F15:P15" si="5">F8+F10</f>
        <v>3059</v>
      </c>
      <c r="G15" s="147">
        <f t="shared" si="5"/>
        <v>3040</v>
      </c>
      <c r="H15" s="147">
        <f t="shared" si="5"/>
        <v>2974</v>
      </c>
      <c r="I15" s="147">
        <f t="shared" si="5"/>
        <v>2979</v>
      </c>
      <c r="J15" s="147">
        <f t="shared" si="5"/>
        <v>2993</v>
      </c>
      <c r="K15" s="147">
        <f t="shared" si="5"/>
        <v>3020</v>
      </c>
      <c r="L15" s="147">
        <f t="shared" si="5"/>
        <v>3087</v>
      </c>
      <c r="M15" s="147">
        <f t="shared" si="5"/>
        <v>3264</v>
      </c>
      <c r="N15" s="147">
        <f t="shared" si="5"/>
        <v>2939</v>
      </c>
      <c r="O15" s="147">
        <f t="shared" si="5"/>
        <v>2794</v>
      </c>
      <c r="P15" s="147">
        <f t="shared" si="5"/>
        <v>2668</v>
      </c>
      <c r="Q15" s="147">
        <f>Q10+Q8</f>
        <v>2974</v>
      </c>
      <c r="R15" s="107"/>
      <c r="S15" s="122">
        <f t="shared" si="0"/>
        <v>-2.1710526315789513E-2</v>
      </c>
    </row>
    <row r="16" spans="2:23" ht="20.25" customHeight="1">
      <c r="B16" s="185"/>
      <c r="C16" s="114"/>
      <c r="D16" s="148" t="s">
        <v>321</v>
      </c>
      <c r="E16" s="154">
        <v>4385</v>
      </c>
      <c r="F16" s="154">
        <v>4167</v>
      </c>
      <c r="G16" s="154">
        <v>4711</v>
      </c>
      <c r="H16" s="154">
        <v>4482</v>
      </c>
      <c r="I16" s="154">
        <v>4299</v>
      </c>
      <c r="J16" s="154">
        <v>4999</v>
      </c>
      <c r="K16" s="154">
        <v>4889</v>
      </c>
      <c r="L16" s="154">
        <v>4721</v>
      </c>
      <c r="M16" s="154">
        <v>4321</v>
      </c>
      <c r="N16" s="154">
        <v>4927</v>
      </c>
      <c r="O16" s="154">
        <v>4288</v>
      </c>
      <c r="P16" s="154">
        <v>4677</v>
      </c>
      <c r="Q16" s="159">
        <f>IF($T$7=$C$53,SUM(E16:P16),IF($E$6=$T$7,E16,IF($F$6=$T$7,F16,IF($G$6=$T$7,G16,IF($H$6=$T$7,H16,IF($I$6=$T$7,I16,IF($J$6=$T$7,J16,IF($K$6=$T$7,K16,IF($L$6=$T$7,L16,IF($M$6=$T$7,M16,IF($N$6=$T$7,N16,IF($O$6=$T$7,O16,P16))))))))))))</f>
        <v>4482</v>
      </c>
      <c r="R16" s="104"/>
      <c r="S16" s="122">
        <f t="shared" si="0"/>
        <v>-4.8609637019741081E-2</v>
      </c>
    </row>
    <row r="17" spans="2:19" ht="20.25" customHeight="1">
      <c r="B17" s="185"/>
      <c r="C17" s="119"/>
      <c r="D17" s="141" t="s">
        <v>298</v>
      </c>
      <c r="E17" s="155">
        <v>1.33</v>
      </c>
      <c r="F17" s="155">
        <v>1.47</v>
      </c>
      <c r="G17" s="155">
        <v>1.89</v>
      </c>
      <c r="H17" s="155">
        <v>2.11</v>
      </c>
      <c r="I17" s="155">
        <v>1.94</v>
      </c>
      <c r="J17" s="155">
        <v>1.68</v>
      </c>
      <c r="K17" s="155">
        <v>1.45</v>
      </c>
      <c r="L17" s="155">
        <v>1.22</v>
      </c>
      <c r="M17" s="155">
        <v>1.1100000000000001</v>
      </c>
      <c r="N17" s="155">
        <v>1.55</v>
      </c>
      <c r="O17" s="155">
        <v>1.76</v>
      </c>
      <c r="P17" s="155">
        <v>1.33</v>
      </c>
      <c r="Q17" s="160">
        <f>IF($T$7=$C$53,#REF!,IF($E$6=$T$7,E17,IF($F$6=$T$7,F17,IF($G$6=$T$7,G17,IF($H$6=$T$7,H17,IF($I$6=$T$7,I17,IF($J$6=$T$7,J17,IF($K$6=$T$7,K17,IF($L$6=$T$7,L17,IF($M$6=$T$7,M17,IF($N$6=$T$7,N17,IF($O$6=$T$7,O17,P17))))))))))))</f>
        <v>2.11</v>
      </c>
      <c r="R17" s="108"/>
      <c r="S17" s="122">
        <f t="shared" si="0"/>
        <v>0.11640211640211628</v>
      </c>
    </row>
    <row r="18" spans="2:19" ht="20.25" customHeight="1">
      <c r="B18" s="185"/>
      <c r="C18" s="114"/>
      <c r="D18" s="141" t="s">
        <v>299</v>
      </c>
      <c r="E18" s="155">
        <v>4.1100000000000003</v>
      </c>
      <c r="F18" s="155">
        <v>3.66</v>
      </c>
      <c r="G18" s="155">
        <v>4.01</v>
      </c>
      <c r="H18" s="155">
        <v>4.08</v>
      </c>
      <c r="I18" s="155">
        <v>4.1100000000000003</v>
      </c>
      <c r="J18" s="155">
        <v>2.99</v>
      </c>
      <c r="K18" s="155">
        <v>3.22</v>
      </c>
      <c r="L18" s="155">
        <v>3.66</v>
      </c>
      <c r="M18" s="155">
        <v>3.12</v>
      </c>
      <c r="N18" s="155">
        <v>3.55</v>
      </c>
      <c r="O18" s="155">
        <v>3.88</v>
      </c>
      <c r="P18" s="155">
        <v>3.99</v>
      </c>
      <c r="Q18" s="161">
        <f>IF($T$7=$C$53,SUM(E18:P18),IF($E$6=$T$7,E18,IF($F$6=$T$7,F18,IF($G$6=$T$7,G18,IF($H$6=$T$7,H18,IF($I$6=$T$7,I18,IF($J$6=$T$7,J18,IF($K$6=$T$7,K18,IF($L$6=$T$7,L18,IF($M$6=$T$7,M18,IF($N$6=$T$7,N18,IF($O$6=$T$7,O18,P18))))))))))))</f>
        <v>4.08</v>
      </c>
      <c r="R18" s="108"/>
      <c r="S18" s="122">
        <f t="shared" si="0"/>
        <v>1.7456359102244523E-2</v>
      </c>
    </row>
    <row r="19" spans="2:19" ht="20.25" customHeight="1">
      <c r="B19" s="185"/>
      <c r="C19" s="114"/>
      <c r="D19" s="139" t="s">
        <v>300</v>
      </c>
      <c r="E19" s="152">
        <v>1060</v>
      </c>
      <c r="F19" s="152">
        <v>991</v>
      </c>
      <c r="G19" s="152">
        <v>1050</v>
      </c>
      <c r="H19" s="152">
        <v>1068</v>
      </c>
      <c r="I19" s="152">
        <v>1028</v>
      </c>
      <c r="J19" s="152">
        <v>1020</v>
      </c>
      <c r="K19" s="152">
        <v>1052</v>
      </c>
      <c r="L19" s="152">
        <v>1016</v>
      </c>
      <c r="M19" s="152">
        <v>1024</v>
      </c>
      <c r="N19" s="152">
        <v>1067</v>
      </c>
      <c r="O19" s="152">
        <v>1021</v>
      </c>
      <c r="P19" s="152">
        <v>1003</v>
      </c>
      <c r="Q19" s="140">
        <f>IF($T$7=$C$53,SUM(E19:P19),IF($E$6=$T$7,E19,IF($F$6=$T$7,F19,IF($G$6=$T$7,G19,IF($H$6=$T$7,H19,IF($I$6=$T$7,I19,IF($J$6=$T$7,J19,IF($K$6=$T$7,K19,IF($L$6=$T$7,L19,IF($M$6=$T$7,M19,IF($N$6=$T$7,N19,IF($O$6=$T$7,O19,P19))))))))))))</f>
        <v>1068</v>
      </c>
      <c r="R19" s="104"/>
      <c r="S19" s="122">
        <f t="shared" si="0"/>
        <v>1.7142857142857126E-2</v>
      </c>
    </row>
    <row r="20" spans="2:19" ht="20.25" customHeight="1" thickBot="1">
      <c r="B20" s="185"/>
      <c r="C20" s="119"/>
      <c r="D20" s="149" t="s">
        <v>301</v>
      </c>
      <c r="E20" s="156">
        <v>884</v>
      </c>
      <c r="F20" s="156">
        <v>867</v>
      </c>
      <c r="G20" s="156">
        <v>904</v>
      </c>
      <c r="H20" s="156">
        <v>1200</v>
      </c>
      <c r="I20" s="156">
        <v>977</v>
      </c>
      <c r="J20" s="156">
        <v>888</v>
      </c>
      <c r="K20" s="156">
        <v>901</v>
      </c>
      <c r="L20" s="156">
        <v>970</v>
      </c>
      <c r="M20" s="156">
        <v>830</v>
      </c>
      <c r="N20" s="156">
        <v>913</v>
      </c>
      <c r="O20" s="156">
        <v>802</v>
      </c>
      <c r="P20" s="156">
        <v>801</v>
      </c>
      <c r="Q20" s="147">
        <f>IF($T$7=$C$53,SUM(E20:P20),IF($E$6=$T$7,E20,IF($F$6=$T$7,F20,IF($G$6=$T$7,G20,IF($H$6=$T$7,H20,IF($I$6=$T$7,I20,IF($J$6=$T$7,J20,IF($K$6=$T$7,K20,IF($L$6=$T$7,L20,IF($M$6=$T$7,M20,IF($N$6=$T$7,N20,IF($O$6=$T$7,O20,P20))))))))))))</f>
        <v>1200</v>
      </c>
      <c r="R20" s="105"/>
      <c r="S20" s="122">
        <f t="shared" si="0"/>
        <v>0.32743362831858414</v>
      </c>
    </row>
    <row r="21" spans="2:19" ht="20.25" customHeight="1">
      <c r="B21" s="185"/>
      <c r="C21" s="119"/>
      <c r="D21" s="143" t="s">
        <v>302</v>
      </c>
      <c r="E21" s="154">
        <v>4718</v>
      </c>
      <c r="F21" s="154">
        <v>5111</v>
      </c>
      <c r="G21" s="154">
        <v>4888</v>
      </c>
      <c r="H21" s="154">
        <v>5200</v>
      </c>
      <c r="I21" s="154">
        <v>5222</v>
      </c>
      <c r="J21" s="154">
        <v>5288</v>
      </c>
      <c r="K21" s="154">
        <v>5311</v>
      </c>
      <c r="L21" s="154">
        <v>4999</v>
      </c>
      <c r="M21" s="154">
        <v>5388</v>
      </c>
      <c r="N21" s="154">
        <v>5488</v>
      </c>
      <c r="O21" s="154">
        <v>5500</v>
      </c>
      <c r="P21" s="154">
        <v>4999</v>
      </c>
      <c r="Q21" s="159">
        <f>IF($T$7=$C$53,SUM(E21:P21),IF($E$6=$T$7,E21,IF($F$6=$T$7,F21,IF($G$6=$T$7,G21,IF($H$6=$T$7,H21,IF($I$6=$T$7,I21,IF($J$6=$T$7,J21,IF($K$6=$T$7,K21,IF($L$6=$T$7,L21,IF($M$6=$T$7,M21,IF($N$6=$T$7,N21,IF($O$6=$T$7,O21,P21))))))))))))</f>
        <v>5200</v>
      </c>
      <c r="R21" s="104"/>
      <c r="S21" s="122">
        <f t="shared" si="0"/>
        <v>6.3829787234042534E-2</v>
      </c>
    </row>
    <row r="22" spans="2:19" ht="20.25" customHeight="1">
      <c r="B22" s="185"/>
      <c r="C22" s="114"/>
      <c r="D22" s="139" t="s">
        <v>303</v>
      </c>
      <c r="E22" s="150">
        <f t="shared" ref="E22:P22" si="6">IFERROR(IF(E21="","",E7/E21),0)</f>
        <v>0.95400593471810091</v>
      </c>
      <c r="F22" s="150">
        <f t="shared" si="6"/>
        <v>0.93915085110545882</v>
      </c>
      <c r="G22" s="150">
        <f t="shared" si="6"/>
        <v>0.87970540098199668</v>
      </c>
      <c r="H22" s="150">
        <f t="shared" si="6"/>
        <v>0.98076923076923073</v>
      </c>
      <c r="I22" s="150">
        <f t="shared" si="6"/>
        <v>0.91918805055534281</v>
      </c>
      <c r="J22" s="150">
        <f t="shared" si="6"/>
        <v>0.98335854765506803</v>
      </c>
      <c r="K22" s="150">
        <f t="shared" si="6"/>
        <v>0.96027113537940123</v>
      </c>
      <c r="L22" s="150">
        <f t="shared" si="6"/>
        <v>0.82016403280656136</v>
      </c>
      <c r="M22" s="150">
        <f t="shared" si="6"/>
        <v>0.96510764662212323</v>
      </c>
      <c r="N22" s="150">
        <f t="shared" si="6"/>
        <v>0.94460641399416911</v>
      </c>
      <c r="O22" s="150">
        <f t="shared" si="6"/>
        <v>0.87272727272727268</v>
      </c>
      <c r="P22" s="150">
        <f t="shared" si="6"/>
        <v>0.92518503700740151</v>
      </c>
      <c r="Q22" s="150">
        <f>IFERROR(IF(Q21="","",Q7/Q21),0)</f>
        <v>0.98076923076923073</v>
      </c>
      <c r="R22" s="109"/>
      <c r="S22" s="122">
        <f t="shared" si="0"/>
        <v>0.11488372093023247</v>
      </c>
    </row>
    <row r="23" spans="2:19" ht="20.25" customHeight="1">
      <c r="B23" s="185"/>
      <c r="C23" s="119"/>
      <c r="D23" s="139" t="s">
        <v>304</v>
      </c>
      <c r="E23" s="153">
        <v>3662</v>
      </c>
      <c r="F23" s="153">
        <v>3674</v>
      </c>
      <c r="G23" s="153">
        <v>3568</v>
      </c>
      <c r="H23" s="153">
        <v>3650</v>
      </c>
      <c r="I23" s="153">
        <v>3568</v>
      </c>
      <c r="J23" s="153">
        <v>3595</v>
      </c>
      <c r="K23" s="153">
        <v>3515</v>
      </c>
      <c r="L23" s="153">
        <v>3561</v>
      </c>
      <c r="M23" s="153">
        <v>3558</v>
      </c>
      <c r="N23" s="153">
        <v>3530</v>
      </c>
      <c r="O23" s="153">
        <v>3592</v>
      </c>
      <c r="P23" s="153">
        <v>3556</v>
      </c>
      <c r="Q23" s="142">
        <f>IF($T$7=$C$53,SUM(E23:P23),IF($E$6=$T$7,E23,IF($F$6=$T$7,F23,IF($G$6=$T$7,G23,IF($H$6=$T$7,H23,IF($I$6=$T$7,I23,IF($J$6=$T$7,J23,IF($K$6=$T$7,K23,IF($L$6=$T$7,L23,IF($M$6=$T$7,M23,IF($N$6=$T$7,N23,IF($O$6=$T$7,O23,P23))))))))))))</f>
        <v>3650</v>
      </c>
      <c r="R23" s="105"/>
      <c r="S23" s="122">
        <f t="shared" si="0"/>
        <v>2.2982062780269041E-2</v>
      </c>
    </row>
    <row r="24" spans="2:19" ht="20.25" customHeight="1">
      <c r="B24" s="185"/>
      <c r="C24" s="114"/>
      <c r="D24" s="139" t="s">
        <v>305</v>
      </c>
      <c r="E24" s="150">
        <f t="shared" ref="E24" si="7">IFERROR(IF(E23="","",E15/E23),0)</f>
        <v>0.81949754232659744</v>
      </c>
      <c r="F24" s="150">
        <f t="shared" ref="F24" si="8">IFERROR(IF(F23="","",F15/F23),0)</f>
        <v>0.83260751224823082</v>
      </c>
      <c r="G24" s="150">
        <f t="shared" ref="G24:P24" si="9">IFERROR(IF(G23="","",G15/G23),0)</f>
        <v>0.85201793721973096</v>
      </c>
      <c r="H24" s="150">
        <f t="shared" si="9"/>
        <v>0.81479452054794521</v>
      </c>
      <c r="I24" s="150">
        <f t="shared" si="9"/>
        <v>0.83492152466367708</v>
      </c>
      <c r="J24" s="150">
        <f t="shared" si="9"/>
        <v>0.83254520166898471</v>
      </c>
      <c r="K24" s="150">
        <f t="shared" si="9"/>
        <v>0.85917496443812236</v>
      </c>
      <c r="L24" s="150">
        <f t="shared" si="9"/>
        <v>0.8668913226621735</v>
      </c>
      <c r="M24" s="150">
        <f t="shared" si="9"/>
        <v>0.91736930860033727</v>
      </c>
      <c r="N24" s="150">
        <f t="shared" si="9"/>
        <v>0.83257790368271956</v>
      </c>
      <c r="O24" s="150">
        <f t="shared" si="9"/>
        <v>0.7778396436525612</v>
      </c>
      <c r="P24" s="150">
        <f t="shared" si="9"/>
        <v>0.75028121484814403</v>
      </c>
      <c r="Q24" s="150">
        <f>IFERROR(IF(Q23="","",Q15/Q23),0)</f>
        <v>0.81479452054794521</v>
      </c>
      <c r="R24" s="109"/>
      <c r="S24" s="122">
        <f t="shared" si="0"/>
        <v>-4.3688536409516976E-2</v>
      </c>
    </row>
    <row r="25" spans="2:19" ht="20.25" customHeight="1">
      <c r="B25" s="2"/>
      <c r="C25" s="114"/>
      <c r="D25" s="115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01"/>
    </row>
    <row r="26" spans="2:19" ht="20.25" hidden="1" customHeight="1">
      <c r="B26" s="2"/>
      <c r="C26" s="114"/>
      <c r="D26" s="115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01"/>
    </row>
    <row r="27" spans="2:19" ht="20.25" hidden="1" customHeight="1">
      <c r="B27" s="2"/>
      <c r="C27" s="114"/>
      <c r="D27" s="115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01"/>
    </row>
    <row r="28" spans="2:19" ht="20.25" hidden="1" customHeight="1">
      <c r="B28" s="2"/>
      <c r="C28" s="114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01"/>
    </row>
    <row r="29" spans="2:19" ht="20.25" hidden="1" customHeight="1">
      <c r="B29" s="2"/>
      <c r="C29" s="114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01"/>
    </row>
    <row r="30" spans="2:19" ht="20.25" hidden="1" customHeight="1">
      <c r="B30" s="2"/>
      <c r="C30" s="114"/>
      <c r="D30" s="115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01"/>
    </row>
    <row r="31" spans="2:19" ht="24" hidden="1" customHeight="1"/>
    <row r="32" spans="2:19" ht="24" hidden="1" customHeight="1">
      <c r="D32" s="183" t="s">
        <v>15</v>
      </c>
      <c r="E32" s="184"/>
      <c r="F32" s="79">
        <v>0.14000000000000001</v>
      </c>
    </row>
    <row r="33" spans="3:21" ht="24" hidden="1" customHeight="1">
      <c r="Q33" s="41"/>
      <c r="R33" s="103"/>
      <c r="U33" s="1"/>
    </row>
    <row r="37" spans="3:21" hidden="1">
      <c r="C37" s="181" t="str">
        <f>D15</f>
        <v>Giderler</v>
      </c>
      <c r="D37" s="181"/>
      <c r="E37" s="9"/>
      <c r="F37" s="9"/>
      <c r="G37" s="9">
        <f t="shared" ref="G37:Q37" si="10">-G15</f>
        <v>-3040</v>
      </c>
      <c r="H37" s="9">
        <f t="shared" si="10"/>
        <v>-2974</v>
      </c>
      <c r="I37" s="9">
        <f t="shared" si="10"/>
        <v>-2979</v>
      </c>
      <c r="J37" s="9">
        <f t="shared" si="10"/>
        <v>-2993</v>
      </c>
      <c r="K37" s="9">
        <f t="shared" si="10"/>
        <v>-3020</v>
      </c>
      <c r="L37" s="9">
        <f t="shared" si="10"/>
        <v>-3087</v>
      </c>
      <c r="M37" s="9">
        <f t="shared" si="10"/>
        <v>-3264</v>
      </c>
      <c r="N37" s="9">
        <f t="shared" si="10"/>
        <v>-2939</v>
      </c>
      <c r="O37" s="9">
        <f t="shared" si="10"/>
        <v>-2794</v>
      </c>
      <c r="P37" s="9">
        <f t="shared" si="10"/>
        <v>-2668</v>
      </c>
      <c r="Q37" s="9">
        <f t="shared" si="10"/>
        <v>-2974</v>
      </c>
      <c r="R37" s="110"/>
    </row>
    <row r="40" spans="3:21" hidden="1">
      <c r="C40" s="57" t="s">
        <v>12</v>
      </c>
    </row>
    <row r="41" spans="3:21" hidden="1">
      <c r="C41" s="78" t="s">
        <v>0</v>
      </c>
    </row>
    <row r="42" spans="3:21" hidden="1">
      <c r="C42" s="78" t="s">
        <v>1</v>
      </c>
    </row>
    <row r="43" spans="3:21" hidden="1">
      <c r="C43" s="78" t="s">
        <v>2</v>
      </c>
    </row>
    <row r="44" spans="3:21" hidden="1">
      <c r="C44" s="78" t="s">
        <v>3</v>
      </c>
    </row>
    <row r="45" spans="3:21" hidden="1">
      <c r="C45" s="78" t="s">
        <v>4</v>
      </c>
    </row>
    <row r="46" spans="3:21" hidden="1">
      <c r="C46" s="78" t="s">
        <v>5</v>
      </c>
    </row>
    <row r="47" spans="3:21" hidden="1">
      <c r="C47" s="78" t="s">
        <v>6</v>
      </c>
    </row>
    <row r="48" spans="3:21" hidden="1">
      <c r="C48" s="78" t="s">
        <v>7</v>
      </c>
    </row>
    <row r="49" spans="3:3" hidden="1">
      <c r="C49" s="78" t="s">
        <v>8</v>
      </c>
    </row>
    <row r="50" spans="3:3" hidden="1">
      <c r="C50" s="78" t="s">
        <v>9</v>
      </c>
    </row>
    <row r="51" spans="3:3" hidden="1">
      <c r="C51" s="78" t="s">
        <v>10</v>
      </c>
    </row>
    <row r="52" spans="3:3" hidden="1">
      <c r="C52" s="78" t="s">
        <v>11</v>
      </c>
    </row>
    <row r="53" spans="3:3" hidden="1">
      <c r="C53" s="78" t="s">
        <v>14</v>
      </c>
    </row>
  </sheetData>
  <mergeCells count="6">
    <mergeCell ref="C37:D37"/>
    <mergeCell ref="B1:S1"/>
    <mergeCell ref="D32:E32"/>
    <mergeCell ref="B7:B15"/>
    <mergeCell ref="B16:B20"/>
    <mergeCell ref="B21:B24"/>
  </mergeCells>
  <phoneticPr fontId="39" type="noConversion"/>
  <pageMargins left="0.25" right="0.25" top="0.75" bottom="0.75" header="0.3" footer="0.3"/>
  <pageSetup scale="69" orientation="landscape" r:id="rId1"/>
  <colBreaks count="1" manualBreakCount="1">
    <brk id="18" max="36" man="1"/>
  </colBreaks>
  <ignoredErrors>
    <ignoredError sqref="Q12 Q9 Q11 Q13 Q15 Q22 Q1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F0CC-788A-44C8-9E60-AA3CD75AB1E6}">
  <sheetPr codeName="Sheet1"/>
  <dimension ref="B2:AE43"/>
  <sheetViews>
    <sheetView showGridLines="0" topLeftCell="B1" zoomScale="130" zoomScaleNormal="130" workbookViewId="0">
      <selection activeCell="V1" sqref="V1:V4"/>
    </sheetView>
  </sheetViews>
  <sheetFormatPr defaultRowHeight="14.4"/>
  <cols>
    <col min="2" max="2" width="0.6640625" customWidth="1"/>
    <col min="3" max="3" width="7" customWidth="1"/>
    <col min="4" max="4" width="0.44140625" customWidth="1"/>
    <col min="5" max="5" width="24.6640625" bestFit="1" customWidth="1"/>
    <col min="6" max="6" width="0.44140625" customWidth="1"/>
    <col min="7" max="7" width="8.44140625" bestFit="1" customWidth="1"/>
    <col min="8" max="8" width="0.5546875" customWidth="1"/>
    <col min="9" max="9" width="0.6640625" customWidth="1"/>
    <col min="10" max="10" width="0.5546875" customWidth="1"/>
    <col min="16" max="16" width="16.44140625" customWidth="1"/>
    <col min="18" max="18" width="28.88671875" customWidth="1"/>
    <col min="19" max="19" width="26.88671875" customWidth="1"/>
    <col min="20" max="21" width="5" bestFit="1" customWidth="1"/>
    <col min="22" max="34" width="5.44140625" bestFit="1" customWidth="1"/>
  </cols>
  <sheetData>
    <row r="2" spans="2:31">
      <c r="B2" s="131"/>
      <c r="C2" s="132" t="s">
        <v>13</v>
      </c>
      <c r="D2" s="124"/>
      <c r="E2" s="133" t="s">
        <v>273</v>
      </c>
      <c r="F2" s="124"/>
      <c r="G2" s="133" t="s">
        <v>151</v>
      </c>
      <c r="H2" s="95"/>
      <c r="I2" s="137"/>
    </row>
    <row r="3" spans="2:31" ht="3" customHeight="1">
      <c r="B3" s="95"/>
      <c r="C3" s="128"/>
      <c r="D3" s="124"/>
      <c r="E3" s="124"/>
      <c r="F3" s="124"/>
      <c r="G3" s="124"/>
      <c r="H3" s="95"/>
      <c r="I3" s="137"/>
    </row>
    <row r="4" spans="2:31">
      <c r="B4" s="134"/>
      <c r="C4" s="138">
        <v>1</v>
      </c>
      <c r="D4" s="129"/>
      <c r="E4" s="123" t="str">
        <f>Veriler!D7</f>
        <v>Gelir</v>
      </c>
      <c r="F4" s="125"/>
      <c r="G4" s="93">
        <f>Veriler!S7</f>
        <v>0.18604651162790709</v>
      </c>
      <c r="H4" s="96"/>
      <c r="I4" s="137"/>
      <c r="T4" t="s">
        <v>0</v>
      </c>
      <c r="U4" t="s">
        <v>1</v>
      </c>
      <c r="V4" t="s">
        <v>2</v>
      </c>
      <c r="W4" t="s">
        <v>3</v>
      </c>
      <c r="X4" t="s">
        <v>4</v>
      </c>
      <c r="Y4" t="s">
        <v>5</v>
      </c>
      <c r="Z4" t="s">
        <v>6</v>
      </c>
      <c r="AA4" t="s">
        <v>7</v>
      </c>
      <c r="AB4" t="s">
        <v>8</v>
      </c>
      <c r="AC4" t="s">
        <v>9</v>
      </c>
      <c r="AD4" t="s">
        <v>10</v>
      </c>
      <c r="AE4" t="s">
        <v>11</v>
      </c>
    </row>
    <row r="5" spans="2:31">
      <c r="B5" s="135"/>
      <c r="C5" s="138">
        <v>2</v>
      </c>
      <c r="D5" s="130"/>
      <c r="E5" s="123" t="str">
        <f>Veriler!D13</f>
        <v>Net Kâr</v>
      </c>
      <c r="F5" s="126"/>
      <c r="G5" s="93">
        <f>Veriler!S13</f>
        <v>3.526845637583893</v>
      </c>
      <c r="H5" s="1"/>
      <c r="I5" s="137"/>
      <c r="S5" t="s">
        <v>290</v>
      </c>
      <c r="T5">
        <f>+Veriler!E7</f>
        <v>4501</v>
      </c>
      <c r="U5">
        <f>+Veriler!F7</f>
        <v>4800</v>
      </c>
      <c r="V5">
        <f>+Veriler!G7</f>
        <v>4300</v>
      </c>
      <c r="W5">
        <f>+Veriler!H7</f>
        <v>5100</v>
      </c>
      <c r="X5">
        <f>+Veriler!I7</f>
        <v>4800</v>
      </c>
      <c r="Y5">
        <f>+Veriler!J7</f>
        <v>5200</v>
      </c>
      <c r="Z5">
        <f>+Veriler!K7</f>
        <v>5100</v>
      </c>
      <c r="AA5">
        <f>+Veriler!L7</f>
        <v>4100</v>
      </c>
      <c r="AB5">
        <f>+Veriler!M7</f>
        <v>5200</v>
      </c>
      <c r="AC5">
        <f>+Veriler!N7</f>
        <v>5184</v>
      </c>
      <c r="AD5">
        <f>+Veriler!O7</f>
        <v>4800</v>
      </c>
      <c r="AE5">
        <f>+Veriler!P7</f>
        <v>4625</v>
      </c>
    </row>
    <row r="6" spans="2:31">
      <c r="B6" s="135"/>
      <c r="C6" s="138">
        <v>3</v>
      </c>
      <c r="D6" s="130"/>
      <c r="E6" s="123" t="str">
        <f>Veriler!D14</f>
        <v>Net Kâr Marjı (%)</v>
      </c>
      <c r="F6" s="126"/>
      <c r="G6" s="93">
        <f>Veriler!S14</f>
        <v>2.8167522042374</v>
      </c>
      <c r="H6" s="97"/>
      <c r="I6" s="137"/>
      <c r="S6" t="s">
        <v>308</v>
      </c>
      <c r="T6">
        <f>+Veriler!E15</f>
        <v>3001</v>
      </c>
      <c r="U6">
        <f>+Veriler!F15</f>
        <v>3059</v>
      </c>
      <c r="V6">
        <f>+Veriler!G15</f>
        <v>3040</v>
      </c>
      <c r="W6">
        <f>+Veriler!H15</f>
        <v>2974</v>
      </c>
      <c r="X6">
        <f>+Veriler!I15</f>
        <v>2979</v>
      </c>
      <c r="Y6">
        <f>+Veriler!J15</f>
        <v>2993</v>
      </c>
      <c r="Z6">
        <f>+Veriler!K15</f>
        <v>3020</v>
      </c>
      <c r="AA6">
        <f>+Veriler!L15</f>
        <v>3087</v>
      </c>
      <c r="AB6">
        <f>+Veriler!M15</f>
        <v>3264</v>
      </c>
      <c r="AC6">
        <f>+Veriler!N15</f>
        <v>2939</v>
      </c>
      <c r="AD6">
        <f>+Veriler!O15</f>
        <v>2794</v>
      </c>
      <c r="AE6">
        <f>+Veriler!P15</f>
        <v>2668</v>
      </c>
    </row>
    <row r="7" spans="2:31">
      <c r="B7" s="135"/>
      <c r="C7" s="138">
        <v>4</v>
      </c>
      <c r="D7" s="130"/>
      <c r="E7" s="123" t="str">
        <f>Veriler!D15</f>
        <v>Giderler</v>
      </c>
      <c r="F7" s="126"/>
      <c r="G7" s="93">
        <f>Veriler!S15</f>
        <v>-2.1710526315789513E-2</v>
      </c>
      <c r="H7" s="97"/>
      <c r="I7" s="137"/>
    </row>
    <row r="8" spans="2:31">
      <c r="B8" s="135"/>
      <c r="C8" s="138">
        <v>5</v>
      </c>
      <c r="D8" s="130"/>
      <c r="E8" s="123" t="str">
        <f>Veriler!D16</f>
        <v>Ay Sonundaki Nakit</v>
      </c>
      <c r="F8" s="126"/>
      <c r="G8" s="93">
        <f>Veriler!S16</f>
        <v>-4.8609637019741081E-2</v>
      </c>
      <c r="H8" s="97"/>
      <c r="I8" s="137"/>
    </row>
    <row r="9" spans="2:31">
      <c r="B9" s="135"/>
      <c r="C9" s="138">
        <v>6</v>
      </c>
      <c r="D9" s="130"/>
      <c r="E9" s="123" t="str">
        <f>Veriler!D17</f>
        <v>Hızlı Oran</v>
      </c>
      <c r="F9" s="126"/>
      <c r="G9" s="93">
        <f>Veriler!S17</f>
        <v>0.11640211640211628</v>
      </c>
      <c r="H9" s="97"/>
      <c r="I9" s="137"/>
    </row>
    <row r="10" spans="2:31">
      <c r="B10" s="135"/>
      <c r="C10" s="138">
        <v>7</v>
      </c>
      <c r="D10" s="130"/>
      <c r="E10" s="123" t="str">
        <f>Veriler!D18</f>
        <v>Cari Oran</v>
      </c>
      <c r="F10" s="126"/>
      <c r="G10" s="93">
        <f>Veriler!S18</f>
        <v>1.7456359102244523E-2</v>
      </c>
      <c r="H10" s="97"/>
      <c r="I10" s="137"/>
    </row>
    <row r="11" spans="2:31">
      <c r="B11" s="134"/>
      <c r="C11" s="138">
        <v>8</v>
      </c>
      <c r="D11" s="130"/>
      <c r="E11" s="123" t="str">
        <f>Veriler!D19</f>
        <v>Alacak Hesapları</v>
      </c>
      <c r="F11" s="126"/>
      <c r="G11" s="93">
        <f>Veriler!S19</f>
        <v>1.7142857142857126E-2</v>
      </c>
      <c r="H11" s="97"/>
      <c r="I11" s="137"/>
    </row>
    <row r="12" spans="2:31">
      <c r="B12" s="134"/>
      <c r="C12" s="138">
        <v>9</v>
      </c>
      <c r="D12" s="130"/>
      <c r="E12" s="123" t="str">
        <f>Veriler!D20</f>
        <v>Ödenecek Hesaplar</v>
      </c>
      <c r="F12" s="126"/>
      <c r="G12" s="93">
        <f>Veriler!S20</f>
        <v>0.32743362831858414</v>
      </c>
      <c r="H12" s="97"/>
      <c r="I12" s="137"/>
    </row>
    <row r="13" spans="2:31">
      <c r="B13" s="136"/>
      <c r="C13" s="138">
        <v>10</v>
      </c>
      <c r="D13" s="130"/>
      <c r="E13" s="123" t="str">
        <f>Veriler!D22</f>
        <v>Gelir Bütçesinin %'si</v>
      </c>
      <c r="F13" s="126"/>
      <c r="G13" s="93">
        <f>+Veriler!S22</f>
        <v>0.11488372093023247</v>
      </c>
      <c r="H13" s="97"/>
      <c r="I13" s="137"/>
    </row>
    <row r="14" spans="2:31">
      <c r="B14" s="136"/>
      <c r="C14" s="138">
        <v>11</v>
      </c>
      <c r="D14" s="130"/>
      <c r="E14" s="123" t="str">
        <f>Veriler!D24</f>
        <v>Giderler Bütçesinin %'si</v>
      </c>
      <c r="F14" s="126"/>
      <c r="G14" s="93">
        <f>Veriler!S24</f>
        <v>-4.3688536409516976E-2</v>
      </c>
      <c r="I14" s="137"/>
    </row>
    <row r="15" spans="2:31">
      <c r="B15" s="136"/>
      <c r="C15" s="138">
        <v>12</v>
      </c>
      <c r="D15" s="130"/>
      <c r="E15" s="123" t="s">
        <v>274</v>
      </c>
      <c r="F15" s="126"/>
      <c r="G15" s="93">
        <f>N38-G20</f>
        <v>0.12450980392156863</v>
      </c>
      <c r="I15" s="137"/>
    </row>
    <row r="16" spans="2:31" ht="3" customHeight="1">
      <c r="I16" s="137"/>
    </row>
    <row r="17" spans="2:9" ht="5.25" customHeight="1">
      <c r="B17" s="137"/>
      <c r="C17" s="132"/>
      <c r="D17" s="133"/>
      <c r="E17" s="133"/>
      <c r="F17" s="137"/>
      <c r="G17" s="137"/>
      <c r="I17" s="137"/>
    </row>
    <row r="18" spans="2:9" ht="269.25" customHeight="1"/>
    <row r="19" spans="2:9">
      <c r="E19" t="s">
        <v>309</v>
      </c>
      <c r="G19" s="98">
        <f>Veriler!Q14</f>
        <v>0.26450980392156864</v>
      </c>
    </row>
    <row r="20" spans="2:9">
      <c r="E20" t="s">
        <v>310</v>
      </c>
      <c r="G20" s="99">
        <f>Veriler!F32</f>
        <v>0.14000000000000001</v>
      </c>
    </row>
    <row r="21" spans="2:9" ht="16.8">
      <c r="G21" s="100"/>
    </row>
    <row r="22" spans="2:9" ht="16.8">
      <c r="B22" s="87"/>
      <c r="C22" s="94"/>
      <c r="D22" s="88"/>
      <c r="E22" s="88"/>
      <c r="F22" s="88"/>
      <c r="G22" s="10"/>
    </row>
    <row r="23" spans="2:9" ht="16.8">
      <c r="B23" s="87"/>
      <c r="C23" s="94"/>
      <c r="D23" s="88"/>
      <c r="E23" s="88"/>
      <c r="F23" s="88"/>
      <c r="G23" s="10"/>
    </row>
    <row r="24" spans="2:9" ht="16.8">
      <c r="B24" s="87"/>
      <c r="C24" s="94"/>
      <c r="D24" s="88"/>
      <c r="E24" s="88"/>
      <c r="F24" s="88"/>
      <c r="G24" s="10"/>
    </row>
    <row r="25" spans="2:9" ht="16.8">
      <c r="B25" s="87"/>
      <c r="C25" s="94"/>
      <c r="D25" s="87"/>
      <c r="E25" s="87"/>
      <c r="F25" s="87"/>
      <c r="G25" s="10"/>
    </row>
    <row r="26" spans="2:9" ht="16.8">
      <c r="B26" s="87"/>
      <c r="C26" s="94"/>
      <c r="D26" s="87"/>
      <c r="E26" s="87"/>
      <c r="F26" s="87"/>
      <c r="G26" s="10"/>
    </row>
    <row r="27" spans="2:9" ht="16.8">
      <c r="B27" s="87"/>
      <c r="C27" s="94"/>
      <c r="D27" s="89"/>
      <c r="E27" s="90"/>
      <c r="F27" s="127"/>
      <c r="G27" s="10"/>
    </row>
    <row r="28" spans="2:9" ht="16.8">
      <c r="B28" s="87"/>
      <c r="C28" s="94"/>
      <c r="D28" s="89"/>
      <c r="E28" s="90"/>
      <c r="F28" s="127"/>
    </row>
    <row r="38" spans="3:16">
      <c r="N38" s="186">
        <f>G19</f>
        <v>0.26450980392156864</v>
      </c>
      <c r="O38" s="187"/>
      <c r="P38" s="187"/>
    </row>
    <row r="39" spans="3:16">
      <c r="N39" s="187"/>
      <c r="O39" s="187"/>
      <c r="P39" s="187"/>
    </row>
    <row r="40" spans="3:16">
      <c r="G40" t="s">
        <v>272</v>
      </c>
      <c r="N40" s="187"/>
      <c r="O40" s="187"/>
      <c r="P40" s="187"/>
    </row>
    <row r="41" spans="3:16">
      <c r="C41" t="s">
        <v>265</v>
      </c>
      <c r="N41" s="187"/>
      <c r="O41" s="187"/>
      <c r="P41" s="187"/>
    </row>
    <row r="42" spans="3:16">
      <c r="C42" s="91">
        <f>Veriler!Q22</f>
        <v>0.98076923076923073</v>
      </c>
      <c r="H42" s="91">
        <f>+Veriler!Q24</f>
        <v>0.81479452054794521</v>
      </c>
      <c r="J42" s="91">
        <f>+Veriler!S24</f>
        <v>-4.3688536409516976E-2</v>
      </c>
      <c r="N42" s="187"/>
      <c r="O42" s="187"/>
      <c r="P42" s="187"/>
    </row>
    <row r="43" spans="3:16">
      <c r="C43" s="91">
        <f>100%-C42</f>
        <v>1.9230769230769273E-2</v>
      </c>
      <c r="H43" s="91">
        <f>100%-H42</f>
        <v>0.18520547945205479</v>
      </c>
      <c r="J43" s="91">
        <f>100%-J42</f>
        <v>1.043688536409517</v>
      </c>
      <c r="N43" s="187"/>
      <c r="O43" s="187"/>
      <c r="P43" s="187"/>
    </row>
  </sheetData>
  <mergeCells count="1">
    <mergeCell ref="N38:P43"/>
  </mergeCells>
  <phoneticPr fontId="39" type="noConversion"/>
  <conditionalFormatting sqref="C22">
    <cfRule type="expression" dxfId="33" priority="43">
      <formula>$C$22&gt;0</formula>
    </cfRule>
    <cfRule type="expression" dxfId="32" priority="45">
      <formula>$C$22&lt;0</formula>
    </cfRule>
  </conditionalFormatting>
  <conditionalFormatting sqref="C23">
    <cfRule type="expression" dxfId="31" priority="41">
      <formula>$C$23&gt;0</formula>
    </cfRule>
    <cfRule type="expression" dxfId="30" priority="42">
      <formula>$C$23&lt;0</formula>
    </cfRule>
  </conditionalFormatting>
  <conditionalFormatting sqref="C24">
    <cfRule type="expression" dxfId="29" priority="39">
      <formula>$C$24&gt;0</formula>
    </cfRule>
    <cfRule type="expression" dxfId="28" priority="40">
      <formula>$C$24&lt;0</formula>
    </cfRule>
  </conditionalFormatting>
  <conditionalFormatting sqref="C25">
    <cfRule type="expression" dxfId="27" priority="37">
      <formula>$C$25&gt;0</formula>
    </cfRule>
    <cfRule type="expression" dxfId="26" priority="38">
      <formula>$C$25&lt;0</formula>
    </cfRule>
  </conditionalFormatting>
  <conditionalFormatting sqref="C26">
    <cfRule type="expression" dxfId="25" priority="35">
      <formula>$C$26&gt;0</formula>
    </cfRule>
    <cfRule type="expression" dxfId="24" priority="36">
      <formula>$C$26&lt;0</formula>
    </cfRule>
  </conditionalFormatting>
  <conditionalFormatting sqref="G7">
    <cfRule type="expression" dxfId="23" priority="33">
      <formula>$G$7&gt;0</formula>
    </cfRule>
    <cfRule type="expression" dxfId="22" priority="34">
      <formula>$G$7&lt;0</formula>
    </cfRule>
  </conditionalFormatting>
  <conditionalFormatting sqref="G9">
    <cfRule type="expression" dxfId="21" priority="31">
      <formula>$G$9&lt;0</formula>
    </cfRule>
    <cfRule type="expression" dxfId="20" priority="32">
      <formula>$G$9&gt;0</formula>
    </cfRule>
  </conditionalFormatting>
  <conditionalFormatting sqref="G10">
    <cfRule type="expression" dxfId="19" priority="29">
      <formula>$G$10&lt;0</formula>
    </cfRule>
    <cfRule type="expression" dxfId="18" priority="30">
      <formula>$G$10&gt;0</formula>
    </cfRule>
  </conditionalFormatting>
  <conditionalFormatting sqref="G8">
    <cfRule type="expression" dxfId="17" priority="27">
      <formula>$G$8&lt;0</formula>
    </cfRule>
    <cfRule type="expression" dxfId="16" priority="28">
      <formula>$G$8&gt;0</formula>
    </cfRule>
  </conditionalFormatting>
  <conditionalFormatting sqref="G6">
    <cfRule type="expression" dxfId="15" priority="25">
      <formula>$G$6&lt;0</formula>
    </cfRule>
    <cfRule type="expression" dxfId="14" priority="26">
      <formula>$G$6&gt;0</formula>
    </cfRule>
  </conditionalFormatting>
  <conditionalFormatting sqref="G5">
    <cfRule type="expression" dxfId="13" priority="23">
      <formula>$G$5&lt;0</formula>
    </cfRule>
    <cfRule type="expression" dxfId="12" priority="24">
      <formula>$G$5&gt;0</formula>
    </cfRule>
  </conditionalFormatting>
  <conditionalFormatting sqref="G4">
    <cfRule type="expression" dxfId="11" priority="13">
      <formula>$G$4&lt;0</formula>
    </cfRule>
    <cfRule type="expression" dxfId="10" priority="14">
      <formula>$G$4&gt;0</formula>
    </cfRule>
  </conditionalFormatting>
  <conditionalFormatting sqref="G11">
    <cfRule type="expression" dxfId="9" priority="9">
      <formula>$G$7&gt;0</formula>
    </cfRule>
    <cfRule type="expression" dxfId="8" priority="10">
      <formula>$G$7&lt;0</formula>
    </cfRule>
  </conditionalFormatting>
  <conditionalFormatting sqref="G12">
    <cfRule type="expression" dxfId="7" priority="7">
      <formula>$G$7&gt;0</formula>
    </cfRule>
    <cfRule type="expression" dxfId="6" priority="8">
      <formula>$G$7&lt;0</formula>
    </cfRule>
  </conditionalFormatting>
  <conditionalFormatting sqref="G13">
    <cfRule type="expression" dxfId="5" priority="5">
      <formula>$G$13&lt;0</formula>
    </cfRule>
    <cfRule type="expression" dxfId="4" priority="6">
      <formula>$G$13&gt;0</formula>
    </cfRule>
  </conditionalFormatting>
  <conditionalFormatting sqref="G14">
    <cfRule type="expression" dxfId="3" priority="3">
      <formula>$G$14&lt;0</formula>
    </cfRule>
    <cfRule type="expression" dxfId="2" priority="4">
      <formula>$G$14&gt;0</formula>
    </cfRule>
  </conditionalFormatting>
  <conditionalFormatting sqref="G15">
    <cfRule type="expression" dxfId="1" priority="1">
      <formula>$G$15&lt;0</formula>
    </cfRule>
    <cfRule type="expression" dxfId="0" priority="2">
      <formula>$G$15&gt;0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A594-6B98-489F-A203-A0AF0A6DBEB5}">
  <sheetPr codeName="Sheet5"/>
  <dimension ref="B2:F10"/>
  <sheetViews>
    <sheetView showGridLines="0" zoomScaleNormal="100" workbookViewId="0">
      <selection activeCell="V1" sqref="V1:V4"/>
    </sheetView>
  </sheetViews>
  <sheetFormatPr defaultRowHeight="14.4"/>
  <cols>
    <col min="3" max="3" width="24.6640625" bestFit="1" customWidth="1"/>
    <col min="4" max="4" width="13.109375" bestFit="1" customWidth="1"/>
    <col min="5" max="5" width="9.109375"/>
    <col min="6" max="6" width="12.33203125" customWidth="1"/>
    <col min="7" max="7" width="12.5546875" customWidth="1"/>
  </cols>
  <sheetData>
    <row r="2" spans="2:6" ht="16.2" thickBot="1">
      <c r="B2" s="189"/>
      <c r="C2" s="189"/>
      <c r="D2" s="189"/>
      <c r="E2" s="189"/>
      <c r="F2" s="189"/>
    </row>
    <row r="3" spans="2:6" ht="15.6" thickTop="1" thickBot="1">
      <c r="C3" s="188" t="s">
        <v>313</v>
      </c>
      <c r="D3" s="188"/>
    </row>
    <row r="4" spans="2:6">
      <c r="C4" s="42" t="s">
        <v>314</v>
      </c>
      <c r="D4" s="52">
        <f>DashBoard!B17</f>
        <v>5100</v>
      </c>
      <c r="E4" s="46"/>
    </row>
    <row r="5" spans="2:6">
      <c r="C5" s="43" t="s">
        <v>315</v>
      </c>
      <c r="D5" s="53">
        <f>-Veriler!Q8</f>
        <v>-1252</v>
      </c>
      <c r="E5" s="46"/>
    </row>
    <row r="6" spans="2:6">
      <c r="C6" s="151" t="s">
        <v>316</v>
      </c>
      <c r="D6" s="54">
        <f>+Veriler!Q9</f>
        <v>3848</v>
      </c>
      <c r="E6" s="47"/>
    </row>
    <row r="7" spans="2:6">
      <c r="C7" s="44" t="s">
        <v>317</v>
      </c>
      <c r="D7" s="53">
        <f>-Veriler!Q10</f>
        <v>-1722</v>
      </c>
      <c r="E7" s="48"/>
    </row>
    <row r="8" spans="2:6">
      <c r="C8" s="45" t="s">
        <v>318</v>
      </c>
      <c r="D8" s="55">
        <f>+Veriler!Q11</f>
        <v>2126</v>
      </c>
      <c r="E8" s="47"/>
    </row>
    <row r="9" spans="2:6" ht="15" thickBot="1">
      <c r="C9" s="44" t="s">
        <v>294</v>
      </c>
      <c r="D9" s="53">
        <f>-Veriler!Q12</f>
        <v>-777</v>
      </c>
      <c r="E9" s="46"/>
    </row>
    <row r="10" spans="2:6" ht="15" thickTop="1">
      <c r="C10" s="51" t="s">
        <v>319</v>
      </c>
      <c r="D10" s="56">
        <f>SUM(D4:D9)</f>
        <v>7323</v>
      </c>
      <c r="E10" s="49"/>
    </row>
  </sheetData>
  <mergeCells count="2">
    <mergeCell ref="C3:D3"/>
    <mergeCell ref="B2:F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AD76-DF63-4979-936C-ACCD59E47D41}">
  <sheetPr codeName="Sheet2"/>
  <dimension ref="A1:COB121"/>
  <sheetViews>
    <sheetView topLeftCell="CJC1" zoomScaleNormal="100" workbookViewId="0">
      <pane ySplit="1" topLeftCell="A2" activePane="bottomLeft" state="frozen"/>
      <selection activeCell="V1" sqref="V1:V4"/>
      <selection pane="bottomLeft" activeCell="V1" sqref="V1:V4"/>
    </sheetView>
  </sheetViews>
  <sheetFormatPr defaultRowHeight="14.4"/>
  <cols>
    <col min="1" max="1" width="18.44140625" style="23" bestFit="1" customWidth="1"/>
    <col min="2" max="2" width="3.5546875" style="23" bestFit="1" customWidth="1"/>
    <col min="3" max="5" width="2" style="23" bestFit="1" customWidth="1"/>
    <col min="6" max="6" width="4.44140625" style="23" bestFit="1" customWidth="1"/>
    <col min="7" max="7" width="4.6640625" style="23" bestFit="1" customWidth="1"/>
    <col min="8" max="8" width="4.109375" style="23" bestFit="1" customWidth="1"/>
    <col min="9" max="9" width="7.33203125" style="23" bestFit="1" customWidth="1"/>
    <col min="10" max="10" width="9" style="23" bestFit="1" customWidth="1"/>
    <col min="11" max="11" width="10.44140625" style="23" bestFit="1" customWidth="1"/>
    <col min="12" max="12" width="7.44140625" style="23" bestFit="1" customWidth="1"/>
    <col min="13" max="14" width="6" style="23" bestFit="1" customWidth="1"/>
    <col min="15" max="17" width="6.88671875" style="23" bestFit="1" customWidth="1"/>
    <col min="18" max="18" width="4.6640625" style="23" bestFit="1" customWidth="1"/>
    <col min="19" max="19" width="11.88671875" style="23" bestFit="1" customWidth="1"/>
    <col min="20" max="20" width="11.5546875" style="23" bestFit="1" customWidth="1"/>
    <col min="21" max="21" width="9" style="23" bestFit="1" customWidth="1"/>
    <col min="22" max="22" width="10.109375" style="23" bestFit="1" customWidth="1"/>
    <col min="23" max="23" width="8.44140625" style="23" bestFit="1" customWidth="1"/>
    <col min="24" max="24" width="11.109375" style="23" bestFit="1" customWidth="1"/>
    <col min="25" max="25" width="4.5546875" style="23" bestFit="1" customWidth="1"/>
    <col min="26" max="26" width="7.109375" style="23" bestFit="1" customWidth="1"/>
    <col min="27" max="29" width="2" style="23" bestFit="1" customWidth="1"/>
    <col min="30" max="30" width="4.44140625" style="23" bestFit="1" customWidth="1"/>
    <col min="31" max="31" width="4.6640625" style="23" bestFit="1" customWidth="1"/>
    <col min="32" max="32" width="4.109375" style="23" bestFit="1" customWidth="1"/>
    <col min="33" max="33" width="11.44140625" style="23" bestFit="1" customWidth="1"/>
    <col min="34" max="34" width="8.33203125" style="23" bestFit="1" customWidth="1"/>
    <col min="35" max="41" width="6" style="23" bestFit="1" customWidth="1"/>
    <col min="42" max="44" width="7" style="23" bestFit="1" customWidth="1"/>
    <col min="45" max="50" width="6.88671875" style="23" bestFit="1" customWidth="1"/>
    <col min="51" max="53" width="7.88671875" style="23" bestFit="1" customWidth="1"/>
    <col min="54" max="54" width="12" style="23" bestFit="1" customWidth="1"/>
    <col min="55" max="55" width="6.5546875" style="23" bestFit="1" customWidth="1"/>
    <col min="56" max="56" width="9.109375" style="23"/>
    <col min="57" max="62" width="2" style="23" bestFit="1" customWidth="1"/>
    <col min="63" max="63" width="7.88671875" style="23" bestFit="1" customWidth="1"/>
    <col min="64" max="65" width="7.109375" style="23" bestFit="1" customWidth="1"/>
    <col min="66" max="100" width="9.109375" style="23"/>
    <col min="101" max="101" width="20.44140625" style="23" bestFit="1" customWidth="1"/>
    <col min="102" max="102" width="11.88671875" style="23" bestFit="1" customWidth="1"/>
    <col min="103" max="103" width="11.5546875" style="23" bestFit="1" customWidth="1"/>
    <col min="104" max="104" width="9" style="23" bestFit="1" customWidth="1"/>
    <col min="105" max="105" width="10.109375" style="23" bestFit="1" customWidth="1"/>
    <col min="106" max="107" width="6.44140625" style="23" bestFit="1" customWidth="1"/>
    <col min="108" max="108" width="4.33203125" style="23" bestFit="1" customWidth="1"/>
    <col min="109" max="110" width="7.88671875" style="23" bestFit="1" customWidth="1"/>
    <col min="111" max="112" width="6.44140625" style="23" bestFit="1" customWidth="1"/>
    <col min="113" max="113" width="4.33203125" style="23" bestFit="1" customWidth="1"/>
    <col min="114" max="115" width="7.88671875" style="23" bestFit="1" customWidth="1"/>
    <col min="116" max="1500" width="9.109375" style="23"/>
    <col min="1501" max="1501" width="24" style="23" bestFit="1" customWidth="1"/>
    <col min="1502" max="1502" width="11.88671875" style="23" bestFit="1" customWidth="1"/>
    <col min="1503" max="1503" width="11.5546875" style="23" bestFit="1" customWidth="1"/>
    <col min="1504" max="1504" width="9" style="23" bestFit="1" customWidth="1"/>
    <col min="1505" max="1505" width="10.109375" style="23" bestFit="1" customWidth="1"/>
    <col min="1506" max="1506" width="7.88671875" style="23" bestFit="1" customWidth="1"/>
    <col min="1507" max="1600" width="9.109375" style="23"/>
    <col min="1601" max="1601" width="14.44140625" style="23" bestFit="1" customWidth="1"/>
    <col min="1602" max="1602" width="3.5546875" style="23" bestFit="1" customWidth="1"/>
    <col min="1603" max="1603" width="6.5546875" style="23" bestFit="1" customWidth="1"/>
    <col min="1604" max="1604" width="7.109375" style="23" bestFit="1" customWidth="1"/>
    <col min="1605" max="1605" width="7.44140625" style="23" bestFit="1" customWidth="1"/>
    <col min="1606" max="1608" width="6" style="23" bestFit="1" customWidth="1"/>
    <col min="1609" max="1609" width="7.33203125" style="23" bestFit="1" customWidth="1"/>
    <col min="1610" max="1610" width="9" style="23" bestFit="1" customWidth="1"/>
    <col min="1611" max="1611" width="9.6640625" style="23" bestFit="1" customWidth="1"/>
    <col min="1612" max="1612" width="7" style="23" bestFit="1" customWidth="1"/>
    <col min="1613" max="1613" width="8.5546875" style="23" bestFit="1" customWidth="1"/>
    <col min="1614" max="1614" width="4.88671875" style="23" bestFit="1" customWidth="1"/>
    <col min="1615" max="1617" width="7.109375" style="23" bestFit="1" customWidth="1"/>
    <col min="1618" max="1618" width="6.88671875" style="23" bestFit="1" customWidth="1"/>
    <col min="1619" max="1619" width="11.88671875" style="23" bestFit="1" customWidth="1"/>
    <col min="1620" max="1620" width="11.5546875" style="23" bestFit="1" customWidth="1"/>
    <col min="1621" max="1621" width="9" style="23" bestFit="1" customWidth="1"/>
    <col min="1622" max="1622" width="10.109375" style="23" bestFit="1" customWidth="1"/>
    <col min="1623" max="1623" width="6.88671875" style="23" bestFit="1" customWidth="1"/>
    <col min="1624" max="1624" width="7.109375" style="23" bestFit="1" customWidth="1"/>
    <col min="1625" max="1900" width="9.109375" style="23"/>
    <col min="1901" max="1901" width="24.44140625" style="23" bestFit="1" customWidth="1"/>
    <col min="1902" max="1902" width="11.88671875" style="23" bestFit="1" customWidth="1"/>
    <col min="1903" max="1903" width="11.5546875" style="23" bestFit="1" customWidth="1"/>
    <col min="1904" max="1904" width="9" style="23" bestFit="1" customWidth="1"/>
    <col min="1905" max="1905" width="10.109375" style="23" bestFit="1" customWidth="1"/>
    <col min="1906" max="2000" width="9.109375" style="23"/>
    <col min="2001" max="2001" width="21" style="23" bestFit="1" customWidth="1"/>
    <col min="2002" max="2002" width="11.88671875" style="23" bestFit="1" customWidth="1"/>
    <col min="2003" max="2003" width="11.5546875" style="23" bestFit="1" customWidth="1"/>
    <col min="2004" max="2004" width="9" style="23" bestFit="1" customWidth="1"/>
    <col min="2005" max="2005" width="10.109375" style="23" bestFit="1" customWidth="1"/>
    <col min="2006" max="2006" width="24.6640625" style="23" bestFit="1" customWidth="1"/>
    <col min="2007" max="2007" width="7.5546875" style="23" bestFit="1" customWidth="1"/>
    <col min="2008" max="2008" width="11.109375" style="23" bestFit="1" customWidth="1"/>
    <col min="2009" max="2009" width="10" style="23" bestFit="1" customWidth="1"/>
    <col min="2010" max="2010" width="7" style="23" bestFit="1" customWidth="1"/>
    <col min="2011" max="2011" width="6" style="23" bestFit="1" customWidth="1"/>
    <col min="2012" max="2012" width="17.88671875" style="23" bestFit="1" customWidth="1"/>
    <col min="2013" max="2100" width="9.109375" style="23"/>
    <col min="2101" max="2101" width="18.44140625" style="23" bestFit="1" customWidth="1"/>
    <col min="2102" max="2102" width="11.88671875" style="23" bestFit="1" customWidth="1"/>
    <col min="2103" max="2103" width="11.5546875" style="23" bestFit="1" customWidth="1"/>
    <col min="2104" max="2104" width="9" style="23" bestFit="1" customWidth="1"/>
    <col min="2105" max="2105" width="10.109375" style="23" bestFit="1" customWidth="1"/>
    <col min="2106" max="2109" width="9.109375" style="23"/>
  </cols>
  <sheetData>
    <row r="1" spans="1:2420" s="18" customFormat="1">
      <c r="A1" s="12" t="s">
        <v>18</v>
      </c>
      <c r="B1" s="12" t="s">
        <v>19</v>
      </c>
      <c r="C1" s="12">
        <v>1</v>
      </c>
      <c r="D1" s="12">
        <v>2</v>
      </c>
      <c r="E1" s="12">
        <v>3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  <c r="M1" s="12" t="s">
        <v>27</v>
      </c>
      <c r="N1" s="12" t="s">
        <v>28</v>
      </c>
      <c r="O1" s="20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  <c r="V1" s="12" t="s">
        <v>36</v>
      </c>
      <c r="W1" s="12" t="s">
        <v>37</v>
      </c>
      <c r="X1" s="12" t="s">
        <v>38</v>
      </c>
      <c r="Y1" s="12" t="s">
        <v>39</v>
      </c>
      <c r="Z1" s="13" t="s">
        <v>40</v>
      </c>
      <c r="AA1" s="13">
        <v>1</v>
      </c>
      <c r="AB1" s="13">
        <v>2</v>
      </c>
      <c r="AC1" s="13">
        <v>3</v>
      </c>
      <c r="AD1" s="13" t="s">
        <v>20</v>
      </c>
      <c r="AE1" s="13" t="s">
        <v>21</v>
      </c>
      <c r="AF1" s="13" t="s">
        <v>22</v>
      </c>
      <c r="AG1" s="13" t="s">
        <v>41</v>
      </c>
      <c r="AH1" s="13" t="s">
        <v>42</v>
      </c>
      <c r="AI1" s="21" t="s">
        <v>43</v>
      </c>
      <c r="AJ1" s="21" t="s">
        <v>44</v>
      </c>
      <c r="AK1" s="21" t="s">
        <v>45</v>
      </c>
      <c r="AL1" s="21" t="s">
        <v>46</v>
      </c>
      <c r="AM1" s="21" t="s">
        <v>47</v>
      </c>
      <c r="AN1" s="21" t="s">
        <v>48</v>
      </c>
      <c r="AO1" s="21" t="s">
        <v>49</v>
      </c>
      <c r="AP1" s="21" t="s">
        <v>50</v>
      </c>
      <c r="AQ1" s="21" t="s">
        <v>51</v>
      </c>
      <c r="AR1" s="21" t="s">
        <v>52</v>
      </c>
      <c r="AS1" s="21" t="s">
        <v>53</v>
      </c>
      <c r="AT1" s="21" t="s">
        <v>54</v>
      </c>
      <c r="AU1" s="21" t="s">
        <v>55</v>
      </c>
      <c r="AV1" s="21" t="s">
        <v>56</v>
      </c>
      <c r="AW1" s="21" t="s">
        <v>57</v>
      </c>
      <c r="AX1" s="21" t="s">
        <v>58</v>
      </c>
      <c r="AY1" s="21" t="s">
        <v>59</v>
      </c>
      <c r="AZ1" s="21" t="s">
        <v>60</v>
      </c>
      <c r="BA1" s="21" t="s">
        <v>61</v>
      </c>
      <c r="BB1" s="22" t="s">
        <v>62</v>
      </c>
      <c r="BC1" s="22" t="s">
        <v>63</v>
      </c>
      <c r="BD1" s="11" t="s">
        <v>64</v>
      </c>
      <c r="BE1" s="12">
        <v>1</v>
      </c>
      <c r="BF1" s="12">
        <v>2</v>
      </c>
      <c r="BG1" s="12">
        <v>3</v>
      </c>
      <c r="BH1" s="13">
        <v>1</v>
      </c>
      <c r="BI1" s="13">
        <v>2</v>
      </c>
      <c r="BJ1" s="13">
        <v>3</v>
      </c>
      <c r="BK1" s="12" t="s">
        <v>65</v>
      </c>
      <c r="BL1" s="12" t="s">
        <v>66</v>
      </c>
      <c r="BM1" s="12" t="s">
        <v>67</v>
      </c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4" t="s">
        <v>68</v>
      </c>
      <c r="CX1" s="14" t="s">
        <v>33</v>
      </c>
      <c r="CY1" s="14" t="s">
        <v>34</v>
      </c>
      <c r="CZ1" s="15" t="s">
        <v>35</v>
      </c>
      <c r="DA1" s="14" t="s">
        <v>36</v>
      </c>
      <c r="DB1" s="15" t="s">
        <v>69</v>
      </c>
      <c r="DC1" s="15" t="s">
        <v>70</v>
      </c>
      <c r="DD1" s="15" t="s">
        <v>71</v>
      </c>
      <c r="DE1" s="15" t="s">
        <v>72</v>
      </c>
      <c r="DF1" s="15" t="s">
        <v>73</v>
      </c>
      <c r="DG1" s="15" t="s">
        <v>69</v>
      </c>
      <c r="DH1" s="15" t="s">
        <v>70</v>
      </c>
      <c r="DI1" s="15" t="s">
        <v>71</v>
      </c>
      <c r="DJ1" s="15" t="s">
        <v>72</v>
      </c>
      <c r="DK1" s="15" t="s">
        <v>73</v>
      </c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4" t="s">
        <v>74</v>
      </c>
      <c r="BET1" s="14" t="s">
        <v>33</v>
      </c>
      <c r="BEU1" s="14" t="s">
        <v>34</v>
      </c>
      <c r="BEV1" s="15" t="s">
        <v>35</v>
      </c>
      <c r="BEW1" s="14" t="s">
        <v>36</v>
      </c>
      <c r="BEX1" s="15" t="s">
        <v>72</v>
      </c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4" t="s">
        <v>75</v>
      </c>
      <c r="BIP1" s="14" t="s">
        <v>19</v>
      </c>
      <c r="BIQ1" s="14" t="s">
        <v>76</v>
      </c>
      <c r="BIR1" s="14" t="s">
        <v>77</v>
      </c>
      <c r="BIS1" s="15" t="s">
        <v>78</v>
      </c>
      <c r="BIT1" s="14" t="s">
        <v>79</v>
      </c>
      <c r="BIU1" s="14" t="s">
        <v>80</v>
      </c>
      <c r="BIV1" s="14" t="s">
        <v>81</v>
      </c>
      <c r="BIW1" s="14" t="s">
        <v>23</v>
      </c>
      <c r="BIX1" s="14" t="s">
        <v>24</v>
      </c>
      <c r="BIY1" s="16" t="s">
        <v>82</v>
      </c>
      <c r="BIZ1" s="16" t="s">
        <v>83</v>
      </c>
      <c r="BJA1" s="16" t="s">
        <v>84</v>
      </c>
      <c r="BJB1" s="16" t="s">
        <v>85</v>
      </c>
      <c r="BJC1" s="17" t="s">
        <v>86</v>
      </c>
      <c r="BJD1" s="14" t="s">
        <v>87</v>
      </c>
      <c r="BJE1" s="14" t="s">
        <v>88</v>
      </c>
      <c r="BJF1" s="14" t="s">
        <v>89</v>
      </c>
      <c r="BJG1" s="14" t="s">
        <v>33</v>
      </c>
      <c r="BJH1" s="14" t="s">
        <v>34</v>
      </c>
      <c r="BJI1" s="14" t="s">
        <v>35</v>
      </c>
      <c r="BJJ1" s="14" t="s">
        <v>36</v>
      </c>
      <c r="BJK1" s="15" t="s">
        <v>90</v>
      </c>
      <c r="BJL1" s="15" t="s">
        <v>91</v>
      </c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4" t="s">
        <v>92</v>
      </c>
      <c r="BUD1" s="14" t="s">
        <v>33</v>
      </c>
      <c r="BUE1" s="14" t="s">
        <v>34</v>
      </c>
      <c r="BUF1" s="15" t="s">
        <v>35</v>
      </c>
      <c r="BUG1" s="14" t="s">
        <v>36</v>
      </c>
      <c r="BUH1" s="15" t="s">
        <v>69</v>
      </c>
      <c r="BUI1" s="15" t="s">
        <v>70</v>
      </c>
      <c r="BUJ1" s="15" t="s">
        <v>164</v>
      </c>
      <c r="BUK1" s="15" t="s">
        <v>165</v>
      </c>
      <c r="BUL1" s="15" t="s">
        <v>166</v>
      </c>
      <c r="BUM1" s="15" t="s">
        <v>167</v>
      </c>
      <c r="BUN1" s="15" t="s">
        <v>168</v>
      </c>
      <c r="BUO1" s="15" t="s">
        <v>169</v>
      </c>
      <c r="BUP1" s="15" t="s">
        <v>170</v>
      </c>
      <c r="BUQ1" s="15" t="s">
        <v>171</v>
      </c>
      <c r="BUR1" s="15" t="s">
        <v>172</v>
      </c>
      <c r="BUS1" s="15" t="s">
        <v>173</v>
      </c>
      <c r="BUT1" s="15" t="s">
        <v>174</v>
      </c>
      <c r="BUU1" s="15" t="s">
        <v>175</v>
      </c>
      <c r="BUV1" s="15" t="s">
        <v>176</v>
      </c>
      <c r="BUW1" s="15" t="s">
        <v>177</v>
      </c>
      <c r="BUX1" s="15" t="s">
        <v>178</v>
      </c>
      <c r="BUY1" s="15" t="s">
        <v>179</v>
      </c>
      <c r="BUZ1" s="15" t="s">
        <v>180</v>
      </c>
      <c r="BVA1" s="15" t="s">
        <v>181</v>
      </c>
      <c r="BVB1" s="15" t="s">
        <v>182</v>
      </c>
      <c r="BVC1" s="15" t="s">
        <v>183</v>
      </c>
      <c r="BVD1" s="15" t="s">
        <v>184</v>
      </c>
      <c r="BVE1" s="15" t="s">
        <v>185</v>
      </c>
      <c r="BVF1" s="15" t="s">
        <v>186</v>
      </c>
      <c r="BVG1" s="15" t="s">
        <v>187</v>
      </c>
      <c r="BVH1" s="15" t="s">
        <v>188</v>
      </c>
      <c r="BVI1" s="15" t="s">
        <v>189</v>
      </c>
      <c r="BVJ1" s="15" t="s">
        <v>190</v>
      </c>
      <c r="BVK1" s="15" t="s">
        <v>191</v>
      </c>
      <c r="BVL1" s="15" t="s">
        <v>192</v>
      </c>
      <c r="BVM1" s="15" t="s">
        <v>193</v>
      </c>
      <c r="BVN1" s="15" t="s">
        <v>194</v>
      </c>
      <c r="BVO1" s="15" t="s">
        <v>195</v>
      </c>
      <c r="BVP1" s="15" t="s">
        <v>196</v>
      </c>
      <c r="BVQ1" s="15" t="s">
        <v>197</v>
      </c>
      <c r="BVR1" s="15" t="s">
        <v>198</v>
      </c>
      <c r="BVS1" s="15" t="s">
        <v>199</v>
      </c>
      <c r="BVT1" s="15" t="s">
        <v>200</v>
      </c>
      <c r="BVU1" s="15" t="s">
        <v>201</v>
      </c>
      <c r="BVV1" s="15" t="s">
        <v>202</v>
      </c>
      <c r="BVW1" s="15" t="s">
        <v>203</v>
      </c>
      <c r="BVX1" s="15" t="s">
        <v>204</v>
      </c>
      <c r="BVY1" s="15" t="s">
        <v>205</v>
      </c>
      <c r="BVZ1" s="15" t="s">
        <v>206</v>
      </c>
      <c r="BWA1" s="15" t="s">
        <v>207</v>
      </c>
      <c r="BWB1" s="15" t="s">
        <v>208</v>
      </c>
      <c r="BWC1" s="15" t="s">
        <v>209</v>
      </c>
      <c r="BWD1" s="15" t="s">
        <v>210</v>
      </c>
      <c r="BWE1" s="15" t="s">
        <v>211</v>
      </c>
      <c r="BWF1" s="15" t="s">
        <v>212</v>
      </c>
      <c r="BWG1" s="15" t="s">
        <v>213</v>
      </c>
      <c r="BWH1" s="15" t="s">
        <v>214</v>
      </c>
      <c r="BWI1" s="15" t="s">
        <v>215</v>
      </c>
      <c r="BWJ1" s="15" t="s">
        <v>216</v>
      </c>
      <c r="BWK1" s="15" t="s">
        <v>217</v>
      </c>
      <c r="BWL1" s="15" t="s">
        <v>218</v>
      </c>
      <c r="BWM1" s="15" t="s">
        <v>219</v>
      </c>
      <c r="BWN1" s="15" t="s">
        <v>220</v>
      </c>
      <c r="BWO1" s="15" t="s">
        <v>221</v>
      </c>
      <c r="BWP1" s="15" t="s">
        <v>222</v>
      </c>
      <c r="BWQ1" s="15" t="s">
        <v>223</v>
      </c>
      <c r="BWR1" s="15" t="s">
        <v>224</v>
      </c>
      <c r="BWS1" s="15" t="s">
        <v>225</v>
      </c>
      <c r="BWT1" s="15" t="s">
        <v>226</v>
      </c>
      <c r="BWU1" s="15" t="s">
        <v>227</v>
      </c>
      <c r="BWV1" s="15" t="s">
        <v>228</v>
      </c>
      <c r="BWW1" s="15" t="s">
        <v>229</v>
      </c>
      <c r="BWX1" s="15" t="s">
        <v>230</v>
      </c>
      <c r="BWY1" s="15" t="s">
        <v>231</v>
      </c>
      <c r="BWZ1" s="15" t="s">
        <v>232</v>
      </c>
      <c r="BXA1" s="15" t="s">
        <v>233</v>
      </c>
      <c r="BXB1" s="15" t="s">
        <v>234</v>
      </c>
      <c r="BXC1" s="15" t="s">
        <v>235</v>
      </c>
      <c r="BXD1" s="15" t="s">
        <v>236</v>
      </c>
      <c r="BXE1" s="15" t="s">
        <v>237</v>
      </c>
      <c r="BXF1" s="15" t="s">
        <v>238</v>
      </c>
      <c r="BXG1" s="15" t="s">
        <v>239</v>
      </c>
      <c r="BXH1" s="15" t="s">
        <v>240</v>
      </c>
      <c r="BXI1" s="15" t="s">
        <v>241</v>
      </c>
      <c r="BXJ1" s="15" t="s">
        <v>242</v>
      </c>
      <c r="BXK1" s="15" t="s">
        <v>243</v>
      </c>
      <c r="BXL1" s="15" t="s">
        <v>244</v>
      </c>
      <c r="BXM1" s="15" t="s">
        <v>245</v>
      </c>
      <c r="BXN1" s="15" t="s">
        <v>246</v>
      </c>
      <c r="BXO1" s="15" t="s">
        <v>247</v>
      </c>
      <c r="BXP1" s="15" t="s">
        <v>248</v>
      </c>
      <c r="BXQ1" s="15" t="s">
        <v>249</v>
      </c>
      <c r="BXR1" s="15" t="s">
        <v>250</v>
      </c>
      <c r="BXS1" s="15" t="s">
        <v>251</v>
      </c>
      <c r="BXT1" s="15" t="s">
        <v>252</v>
      </c>
      <c r="BXU1" s="15" t="s">
        <v>253</v>
      </c>
      <c r="BXV1" s="15" t="s">
        <v>254</v>
      </c>
      <c r="BXW1" s="15" t="s">
        <v>255</v>
      </c>
      <c r="BXX1" s="15" t="s">
        <v>256</v>
      </c>
      <c r="BXY1" s="14" t="s">
        <v>93</v>
      </c>
      <c r="BXZ1" s="14" t="s">
        <v>33</v>
      </c>
      <c r="BYA1" s="14" t="s">
        <v>34</v>
      </c>
      <c r="BYB1" s="15" t="s">
        <v>35</v>
      </c>
      <c r="BYC1" s="14" t="s">
        <v>36</v>
      </c>
      <c r="BYD1" s="15" t="s">
        <v>94</v>
      </c>
      <c r="BYE1" s="15" t="s">
        <v>95</v>
      </c>
      <c r="BYF1" s="15" t="s">
        <v>96</v>
      </c>
      <c r="BYG1" s="15" t="s">
        <v>97</v>
      </c>
      <c r="BYH1" s="15" t="s">
        <v>98</v>
      </c>
      <c r="BYI1" s="15" t="s">
        <v>99</v>
      </c>
      <c r="BYJ1" s="15" t="s">
        <v>100</v>
      </c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4" t="s">
        <v>101</v>
      </c>
      <c r="CBV1" s="14" t="s">
        <v>33</v>
      </c>
      <c r="CBW1" s="14" t="s">
        <v>34</v>
      </c>
      <c r="CBX1" s="15" t="s">
        <v>35</v>
      </c>
      <c r="CBY1" s="14" t="s">
        <v>36</v>
      </c>
      <c r="CBZ1" s="15"/>
      <c r="CCA1" s="15"/>
      <c r="CCB1" s="15"/>
      <c r="CCC1" s="15"/>
      <c r="CFQ1" s="14" t="s">
        <v>102</v>
      </c>
      <c r="CFR1" s="14" t="s">
        <v>33</v>
      </c>
      <c r="CFS1" s="14" t="s">
        <v>34</v>
      </c>
      <c r="CFT1" s="15" t="s">
        <v>35</v>
      </c>
      <c r="CFU1" s="14" t="s">
        <v>36</v>
      </c>
      <c r="CJM1" s="14" t="s">
        <v>103</v>
      </c>
      <c r="CJN1" s="14" t="s">
        <v>33</v>
      </c>
      <c r="CJO1" s="14" t="s">
        <v>34</v>
      </c>
      <c r="CJP1" s="15" t="s">
        <v>35</v>
      </c>
      <c r="CJQ1" s="14" t="s">
        <v>36</v>
      </c>
      <c r="CJR1" s="14" t="s">
        <v>104</v>
      </c>
      <c r="CJS1" s="15" t="s">
        <v>105</v>
      </c>
      <c r="CJT1" s="15" t="s">
        <v>106</v>
      </c>
      <c r="CJU1" s="15" t="s">
        <v>107</v>
      </c>
      <c r="CJV1" s="15" t="s">
        <v>108</v>
      </c>
      <c r="CJW1" s="15" t="s">
        <v>109</v>
      </c>
      <c r="CJX1" s="15" t="s">
        <v>110</v>
      </c>
      <c r="CJY1" s="15" t="s">
        <v>111</v>
      </c>
      <c r="CJZ1" s="15" t="s">
        <v>112</v>
      </c>
      <c r="CKA1" s="15" t="s">
        <v>113</v>
      </c>
      <c r="CKB1" s="15" t="s">
        <v>114</v>
      </c>
      <c r="CKC1" s="15" t="s">
        <v>115</v>
      </c>
      <c r="CKD1" s="15" t="s">
        <v>116</v>
      </c>
      <c r="CKE1" s="15" t="s">
        <v>117</v>
      </c>
      <c r="CKF1" s="15" t="s">
        <v>118</v>
      </c>
      <c r="CKG1" s="15" t="s">
        <v>119</v>
      </c>
      <c r="CKH1" s="15" t="s">
        <v>120</v>
      </c>
      <c r="CKI1" s="15" t="s">
        <v>121</v>
      </c>
      <c r="CKJ1" s="15" t="s">
        <v>122</v>
      </c>
      <c r="CKK1" s="15" t="s">
        <v>123</v>
      </c>
      <c r="CKL1" s="15" t="s">
        <v>124</v>
      </c>
      <c r="CKM1" s="15" t="s">
        <v>125</v>
      </c>
      <c r="CKN1" s="15" t="s">
        <v>126</v>
      </c>
      <c r="CKO1" s="15" t="s">
        <v>127</v>
      </c>
      <c r="CKP1" s="15" t="s">
        <v>128</v>
      </c>
      <c r="CKQ1" s="15" t="s">
        <v>129</v>
      </c>
      <c r="CKR1" s="15" t="s">
        <v>130</v>
      </c>
      <c r="CKS1" s="15" t="s">
        <v>131</v>
      </c>
      <c r="CKT1" s="15" t="s">
        <v>132</v>
      </c>
      <c r="CKU1" s="15" t="s">
        <v>133</v>
      </c>
      <c r="CKV1" s="15" t="s">
        <v>134</v>
      </c>
      <c r="CKW1" s="15" t="s">
        <v>135</v>
      </c>
      <c r="CKX1" s="15" t="s">
        <v>136</v>
      </c>
      <c r="CKY1" s="15" t="s">
        <v>137</v>
      </c>
      <c r="CKZ1" s="15" t="s">
        <v>138</v>
      </c>
      <c r="CLA1" s="15" t="s">
        <v>139</v>
      </c>
      <c r="CLB1" s="15" t="s">
        <v>140</v>
      </c>
      <c r="CLC1" s="15" t="s">
        <v>141</v>
      </c>
      <c r="CLD1" s="15" t="s">
        <v>142</v>
      </c>
      <c r="CLE1" s="15" t="s">
        <v>143</v>
      </c>
      <c r="CLF1" s="15" t="s">
        <v>144</v>
      </c>
      <c r="CLG1" s="15"/>
      <c r="CLH1" s="15"/>
      <c r="CLI1" s="15"/>
      <c r="CLJ1" s="15"/>
      <c r="CLK1" s="15"/>
      <c r="CLL1" s="15"/>
      <c r="CLM1" s="15"/>
      <c r="CNI1" s="14" t="s">
        <v>145</v>
      </c>
      <c r="CNJ1" s="14" t="s">
        <v>33</v>
      </c>
      <c r="CNK1" s="14" t="s">
        <v>34</v>
      </c>
      <c r="CNL1" s="15" t="s">
        <v>35</v>
      </c>
      <c r="CNM1" s="14" t="s">
        <v>36</v>
      </c>
      <c r="CNN1" s="17" t="s">
        <v>146</v>
      </c>
      <c r="CNO1" s="17" t="s">
        <v>147</v>
      </c>
      <c r="CNP1" s="17" t="s">
        <v>148</v>
      </c>
      <c r="CNQ1" s="17" t="s">
        <v>149</v>
      </c>
      <c r="CNR1" s="17" t="s">
        <v>150</v>
      </c>
      <c r="CNS1" s="17" t="s">
        <v>151</v>
      </c>
      <c r="CNT1" s="17" t="s">
        <v>152</v>
      </c>
      <c r="CNU1" s="17" t="s">
        <v>153</v>
      </c>
      <c r="CNV1" s="19" t="s">
        <v>154</v>
      </c>
      <c r="CNW1" s="15" t="s">
        <v>155</v>
      </c>
      <c r="CNX1" s="15" t="s">
        <v>156</v>
      </c>
      <c r="CNY1" s="15" t="s">
        <v>157</v>
      </c>
      <c r="CNZ1" s="15" t="s">
        <v>158</v>
      </c>
      <c r="COA1" s="15" t="s">
        <v>158</v>
      </c>
      <c r="COB1" s="15" t="s">
        <v>158</v>
      </c>
    </row>
    <row r="2" spans="1:2420">
      <c r="A2" s="23" t="s">
        <v>159</v>
      </c>
      <c r="B2" s="23" t="e">
        <f>DashBoard!$AK$4</f>
        <v>#REF!</v>
      </c>
      <c r="C2" s="23" t="e">
        <f>100*B2-F2</f>
        <v>#REF!</v>
      </c>
      <c r="D2" s="23">
        <f>H2/50</f>
        <v>0.6</v>
      </c>
      <c r="E2" s="23" t="e">
        <f>1.5*H2-C2-D2</f>
        <v>#REF!</v>
      </c>
      <c r="F2" s="23">
        <v>0</v>
      </c>
      <c r="G2" s="23">
        <v>30</v>
      </c>
      <c r="H2" s="23">
        <f>G2-F2</f>
        <v>30</v>
      </c>
      <c r="I2" s="23" t="s">
        <v>162</v>
      </c>
      <c r="J2" s="23">
        <v>1</v>
      </c>
      <c r="K2" s="23">
        <v>9</v>
      </c>
      <c r="L2" s="23">
        <v>15</v>
      </c>
      <c r="M2" s="23">
        <v>20</v>
      </c>
      <c r="N2" s="23">
        <v>10</v>
      </c>
      <c r="O2" s="23">
        <v>255</v>
      </c>
      <c r="P2" s="23">
        <v>65535</v>
      </c>
      <c r="Q2" s="23">
        <v>49152</v>
      </c>
      <c r="R2" s="23" t="s">
        <v>161</v>
      </c>
      <c r="S2" s="23" t="str">
        <f ca="1">SUBSTITUTE(MID(_xlfn.FORMULATEXT(V2),2,FIND("!",_xlfn.FORMULATEXT(V2),1)-2), "'","")</f>
        <v>DashBoard</v>
      </c>
      <c r="T2" s="23">
        <f ca="1">_xlfn.SHEET( DashBoard!$NTR$1000003)</f>
        <v>2</v>
      </c>
      <c r="V2" s="23">
        <f>DashBoard!$NTR$1000003</f>
        <v>0</v>
      </c>
      <c r="W2" s="23">
        <v>128</v>
      </c>
      <c r="X2" s="23" t="s">
        <v>160</v>
      </c>
      <c r="Y2" s="23">
        <v>13</v>
      </c>
      <c r="Z2" s="25">
        <f>DashBoard!$AK$3</f>
        <v>0.26450980392156864</v>
      </c>
      <c r="AA2" s="24">
        <f>100*Z2-AD2</f>
        <v>26.450980392156865</v>
      </c>
      <c r="AB2" s="23">
        <f>AF2/50</f>
        <v>0.6</v>
      </c>
      <c r="AC2" s="23">
        <f>1.5*AF2-AA2-AB2</f>
        <v>17.949019607843134</v>
      </c>
      <c r="AD2" s="23">
        <v>0</v>
      </c>
      <c r="AE2" s="23">
        <v>30</v>
      </c>
      <c r="AF2" s="23">
        <f>AE2-AD2</f>
        <v>30</v>
      </c>
      <c r="AG2" s="26" t="e">
        <f>B2-Z2</f>
        <v>#REF!</v>
      </c>
      <c r="AH2" s="23">
        <v>0</v>
      </c>
      <c r="BB2" s="23">
        <v>3</v>
      </c>
      <c r="BC2" s="23">
        <v>430</v>
      </c>
      <c r="BD2" s="23" t="b">
        <v>0</v>
      </c>
      <c r="BE2" s="23" t="e">
        <f>E2</f>
        <v>#REF!</v>
      </c>
      <c r="BF2" s="23">
        <f>D2</f>
        <v>0.6</v>
      </c>
      <c r="BG2" s="23" t="e">
        <f>C2</f>
        <v>#REF!</v>
      </c>
      <c r="BH2" s="23">
        <f>AC2</f>
        <v>17.949019607843134</v>
      </c>
      <c r="BI2" s="23">
        <f>AB2</f>
        <v>0.6</v>
      </c>
      <c r="BJ2" s="24">
        <f>AA2</f>
        <v>26.450980392156865</v>
      </c>
      <c r="BK2" s="23">
        <v>0</v>
      </c>
      <c r="BL2" s="23">
        <v>0</v>
      </c>
      <c r="BM2" s="23">
        <v>0</v>
      </c>
      <c r="DB2" s="40"/>
      <c r="DC2" s="40"/>
      <c r="DD2" s="40"/>
      <c r="DG2" s="40"/>
      <c r="DH2" s="40"/>
      <c r="DI2" s="40"/>
      <c r="DL2" s="40"/>
      <c r="DM2" s="40"/>
      <c r="DN2" s="40"/>
      <c r="DQ2" s="40"/>
      <c r="DR2" s="40"/>
      <c r="DS2" s="40"/>
      <c r="DV2" s="40"/>
      <c r="DW2" s="40"/>
      <c r="DX2" s="40"/>
      <c r="EA2" s="40"/>
      <c r="EB2" s="40"/>
      <c r="EC2" s="40"/>
      <c r="EF2" s="40"/>
      <c r="EG2" s="40"/>
      <c r="EH2" s="40"/>
      <c r="EK2" s="40"/>
      <c r="EL2" s="40"/>
      <c r="EM2" s="40"/>
      <c r="EP2" s="40"/>
      <c r="EQ2" s="40"/>
      <c r="ER2" s="40"/>
      <c r="EU2" s="40"/>
      <c r="EV2" s="40"/>
      <c r="EW2" s="40"/>
      <c r="EZ2" s="40"/>
      <c r="FA2" s="40"/>
      <c r="FB2" s="40"/>
      <c r="FE2" s="40"/>
      <c r="FF2" s="40"/>
      <c r="FG2" s="40"/>
      <c r="BIO2" s="23" t="s">
        <v>270</v>
      </c>
      <c r="BIP2" s="23">
        <f>55</f>
        <v>55</v>
      </c>
      <c r="BIQ2" s="23">
        <v>30</v>
      </c>
      <c r="BIR2" s="23">
        <v>70</v>
      </c>
      <c r="BIS2" s="23">
        <f>VALUE(BIP2)</f>
        <v>55</v>
      </c>
      <c r="BIT2" s="23">
        <f>IF(BIS2&gt;=BIR2,1,0)</f>
        <v>0</v>
      </c>
      <c r="BIU2" s="23">
        <f>IF(AND(BIS2&gt;BIQ2,BIS2&lt;BIR2),1,0)</f>
        <v>1</v>
      </c>
      <c r="BIV2" s="23">
        <f>IF(BIS2&lt;=BIQ2,1,0)</f>
        <v>0</v>
      </c>
      <c r="BIW2" s="23" t="s">
        <v>268</v>
      </c>
      <c r="BIX2" s="23">
        <v>0</v>
      </c>
      <c r="BIY2" s="23">
        <v>2500134</v>
      </c>
      <c r="BIZ2" s="23">
        <v>8421504</v>
      </c>
      <c r="BJA2" s="23">
        <v>0</v>
      </c>
      <c r="BJB2" s="23">
        <v>16777215</v>
      </c>
      <c r="BJC2" s="23">
        <v>255</v>
      </c>
      <c r="BJD2" s="23">
        <v>65535</v>
      </c>
      <c r="BJE2" s="23">
        <v>49152</v>
      </c>
      <c r="BJF2" s="23" t="s">
        <v>271</v>
      </c>
      <c r="BJG2" s="23" t="str">
        <f ca="1">SUBSTITUTE(MID(_xlfn.FORMULATEXT(BJJ2),2,FIND("!",_xlfn.FORMULATEXT(BJJ2),1)-2), "'","")</f>
        <v>DashBoard</v>
      </c>
      <c r="BJH2" s="23">
        <f ca="1">_xlfn.SHEET( DashBoard!$NTP$1000001)</f>
        <v>2</v>
      </c>
      <c r="BJJ2" s="23">
        <f>DashBoard!$NTP$1000001</f>
        <v>0</v>
      </c>
      <c r="BJK2" s="23">
        <v>0</v>
      </c>
      <c r="BJL2" s="23">
        <v>100</v>
      </c>
      <c r="BUC2" s="23" t="s">
        <v>257</v>
      </c>
      <c r="BUD2" s="23" t="str">
        <f ca="1">SUBSTITUTE(MID(_xlfn.FORMULATEXT(BUG2),2,FIND("!",_xlfn.FORMULATEXT(BUG2),1)-2), "'","")</f>
        <v>#REF</v>
      </c>
      <c r="BUE2" s="23" t="e">
        <f ca="1" xml:space="preserve"> _xlfn.SHEET(#REF!)</f>
        <v>#REF!</v>
      </c>
      <c r="BUG2" s="23" t="e">
        <f>#REF!</f>
        <v>#REF!</v>
      </c>
      <c r="BXY2" s="23" t="s">
        <v>264</v>
      </c>
      <c r="BXZ2" s="23" t="str">
        <f ca="1">SUBSTITUTE(MID(_xlfn.FORMULATEXT(BYC2),2,FIND("!",_xlfn.FORMULATEXT(BYC2),1)-2), "'","")</f>
        <v>Statement</v>
      </c>
      <c r="BYA2" s="23">
        <f ca="1">_xlfn.SHEET( Statement!$NTP$1000000)</f>
        <v>5</v>
      </c>
      <c r="BYC2" s="23">
        <f>Statement!$NTP$1000000</f>
        <v>0</v>
      </c>
      <c r="BYD2" s="23" t="str">
        <f>Statement!$C$4</f>
        <v>Toplam Gelir</v>
      </c>
      <c r="BYE2" s="50">
        <f>Statement!$D$4</f>
        <v>5100</v>
      </c>
      <c r="BYF2" s="23">
        <f>BYE2</f>
        <v>5100</v>
      </c>
      <c r="BYG2" s="23">
        <f>BYE2</f>
        <v>5100</v>
      </c>
      <c r="CJM2" t="s">
        <v>163</v>
      </c>
      <c r="CJN2" t="str">
        <f ca="1">SUBSTITUTE(MID(_xlfn.FORMULATEXT(CJQ2),2,FIND("!",_xlfn.FORMULATEXT(CJQ2),1)-2), "'","")</f>
        <v>DashBoard</v>
      </c>
      <c r="CJO2">
        <f ca="1">_xlfn.SHEET( DashBoard!$NTR$1000003)</f>
        <v>2</v>
      </c>
      <c r="CJQ2">
        <f>DashBoard!$NTR$1000003</f>
        <v>0</v>
      </c>
      <c r="CJR2" t="e">
        <f>MAX( DashBoard!$AK$3:$AK$4)</f>
        <v>#REF!</v>
      </c>
      <c r="CJS2">
        <f>DashBoard!$AK$3</f>
        <v>0.26450980392156864</v>
      </c>
      <c r="CJU2" t="e">
        <f>0.75*CJS2/CJR2</f>
        <v>#REF!</v>
      </c>
      <c r="CJV2" t="e">
        <f>1-CJU2</f>
        <v>#REF!</v>
      </c>
      <c r="CJW2" t="e">
        <f>DashBoard!$AK$4</f>
        <v>#REF!</v>
      </c>
      <c r="CJY2" t="e">
        <f>0.75*CJW2/CJR2</f>
        <v>#REF!</v>
      </c>
      <c r="CJZ2" t="e">
        <f>1-CJY2</f>
        <v>#REF!</v>
      </c>
    </row>
    <row r="3" spans="1:2420">
      <c r="A3" s="23" t="s">
        <v>267</v>
      </c>
      <c r="B3" s="23">
        <f>55</f>
        <v>55</v>
      </c>
      <c r="C3" s="23">
        <f>B3-F3</f>
        <v>55</v>
      </c>
      <c r="D3" s="23">
        <f>H3/50</f>
        <v>2</v>
      </c>
      <c r="E3" s="23">
        <f>1.5*H3-C3-D3</f>
        <v>93</v>
      </c>
      <c r="F3" s="23">
        <v>0</v>
      </c>
      <c r="G3" s="23">
        <v>100</v>
      </c>
      <c r="H3" s="23">
        <f>G3-F3</f>
        <v>100</v>
      </c>
      <c r="I3" s="23" t="s">
        <v>268</v>
      </c>
      <c r="J3" s="23">
        <v>0</v>
      </c>
      <c r="K3" s="23">
        <v>9</v>
      </c>
      <c r="L3" s="23">
        <v>15</v>
      </c>
      <c r="M3" s="23">
        <v>70</v>
      </c>
      <c r="N3" s="23">
        <v>30</v>
      </c>
      <c r="O3" s="23">
        <v>255</v>
      </c>
      <c r="P3" s="23">
        <v>65535</v>
      </c>
      <c r="Q3" s="23">
        <v>49152</v>
      </c>
      <c r="R3" s="23" t="s">
        <v>269</v>
      </c>
      <c r="S3" s="23" t="str">
        <f ca="1">SUBSTITUTE(MID(_xlfn.FORMULATEXT(V3),2,FIND("!",_xlfn.FORMULATEXT(V3),1)-2), "'","")</f>
        <v>DashBoard</v>
      </c>
      <c r="T3" s="23">
        <f ca="1">_xlfn.SHEET( DashBoard!$NTP$1000001)</f>
        <v>2</v>
      </c>
      <c r="V3" s="23">
        <f>DashBoard!$NTP$1000001</f>
        <v>0</v>
      </c>
      <c r="W3" s="23">
        <v>0</v>
      </c>
      <c r="X3" s="23" t="s">
        <v>38</v>
      </c>
      <c r="Y3" s="23">
        <v>13</v>
      </c>
      <c r="BB3" s="23">
        <v>3</v>
      </c>
      <c r="BC3" s="23">
        <v>430</v>
      </c>
      <c r="BD3" s="23" t="b">
        <v>0</v>
      </c>
      <c r="BE3" s="23">
        <f>E3</f>
        <v>93</v>
      </c>
      <c r="BF3" s="23">
        <f>D3</f>
        <v>2</v>
      </c>
      <c r="BG3" s="23">
        <f>C3</f>
        <v>55</v>
      </c>
      <c r="BK3" s="23">
        <v>0</v>
      </c>
      <c r="BL3" s="23">
        <v>0</v>
      </c>
      <c r="BM3" s="23">
        <v>0</v>
      </c>
      <c r="CW3" s="23" t="s">
        <v>266</v>
      </c>
      <c r="CX3" s="23" t="str">
        <f ca="1">SUBSTITUTE(MID(_xlfn.FORMULATEXT(DA3),2,FIND("!",_xlfn.FORMULATEXT(DA3),1)-2), "'","")</f>
        <v>calc</v>
      </c>
      <c r="CY3" s="23">
        <f ca="1">_xlfn.SHEET( calc!$NTP$1000000)</f>
        <v>4</v>
      </c>
      <c r="DA3" s="23">
        <f>calc!$NTP$1000000</f>
        <v>0</v>
      </c>
      <c r="DB3" s="23">
        <f>calc!$T$5</f>
        <v>4501</v>
      </c>
      <c r="DC3" s="23">
        <f>calc!$T$6</f>
        <v>3001</v>
      </c>
      <c r="DD3" s="23">
        <f>DC3-DB3</f>
        <v>-1500</v>
      </c>
      <c r="DE3" s="23">
        <f>IF(DD3&lt;0,DD3,"")</f>
        <v>-1500</v>
      </c>
      <c r="DF3" s="23" t="str">
        <f>IF(DD3&gt;0,DD3,"")</f>
        <v/>
      </c>
      <c r="DG3" s="23">
        <f>calc!$U$5</f>
        <v>4800</v>
      </c>
      <c r="DH3" s="23">
        <f>calc!$U$6</f>
        <v>3059</v>
      </c>
      <c r="DI3" s="23">
        <f>DH3-DG3</f>
        <v>-1741</v>
      </c>
      <c r="DJ3" s="23">
        <f>IF(DI3&lt;0,DI3,"")</f>
        <v>-1741</v>
      </c>
      <c r="DK3" s="23" t="str">
        <f>IF(DI3&gt;0,DI3,"")</f>
        <v/>
      </c>
      <c r="DL3" s="23">
        <f>calc!$V$5</f>
        <v>4300</v>
      </c>
      <c r="DM3" s="23">
        <f>calc!$V$6</f>
        <v>3040</v>
      </c>
      <c r="DN3" s="23">
        <f>DM3-DL3</f>
        <v>-1260</v>
      </c>
      <c r="DO3" s="23">
        <f>IF(DN3&lt;0,DN3,"")</f>
        <v>-1260</v>
      </c>
      <c r="DP3" s="23" t="str">
        <f>IF(DN3&gt;0,DN3,"")</f>
        <v/>
      </c>
      <c r="DQ3" s="23">
        <f>calc!$W$5</f>
        <v>5100</v>
      </c>
      <c r="DR3" s="23">
        <f>calc!$W$6</f>
        <v>2974</v>
      </c>
      <c r="DS3" s="23">
        <f>DR3-DQ3</f>
        <v>-2126</v>
      </c>
      <c r="DT3" s="23">
        <f>IF(DS3&lt;0,DS3,"")</f>
        <v>-2126</v>
      </c>
      <c r="DU3" s="23" t="str">
        <f>IF(DS3&gt;0,DS3,"")</f>
        <v/>
      </c>
      <c r="DV3" s="23">
        <f>calc!$X$5</f>
        <v>4800</v>
      </c>
      <c r="DW3" s="23">
        <f>calc!$X$6</f>
        <v>2979</v>
      </c>
      <c r="DX3" s="23">
        <f>DW3-DV3</f>
        <v>-1821</v>
      </c>
      <c r="DY3" s="23">
        <f>IF(DX3&lt;0,DX3,"")</f>
        <v>-1821</v>
      </c>
      <c r="DZ3" s="23" t="str">
        <f>IF(DX3&gt;0,DX3,"")</f>
        <v/>
      </c>
      <c r="EA3" s="23">
        <f>calc!$Y$5</f>
        <v>5200</v>
      </c>
      <c r="EB3" s="23">
        <f>calc!$Y$6</f>
        <v>2993</v>
      </c>
      <c r="EC3" s="23">
        <f>EB3-EA3</f>
        <v>-2207</v>
      </c>
      <c r="ED3" s="23">
        <f>IF(EC3&lt;0,EC3,"")</f>
        <v>-2207</v>
      </c>
      <c r="EE3" s="23" t="str">
        <f>IF(EC3&gt;0,EC3,"")</f>
        <v/>
      </c>
      <c r="EF3" s="23">
        <f>calc!$Z$5</f>
        <v>5100</v>
      </c>
      <c r="EG3" s="23">
        <f>calc!$Z$6</f>
        <v>3020</v>
      </c>
      <c r="EH3" s="23">
        <f>EG3-EF3</f>
        <v>-2080</v>
      </c>
      <c r="EI3" s="23">
        <f>IF(EH3&lt;0,EH3,"")</f>
        <v>-2080</v>
      </c>
      <c r="EJ3" s="23" t="str">
        <f>IF(EH3&gt;0,EH3,"")</f>
        <v/>
      </c>
      <c r="EK3" s="23">
        <f>calc!$AA$5</f>
        <v>4100</v>
      </c>
      <c r="EL3" s="23">
        <f>calc!$AA$6</f>
        <v>3087</v>
      </c>
      <c r="EM3" s="23">
        <f>EL3-EK3</f>
        <v>-1013</v>
      </c>
      <c r="EN3" s="23">
        <f>IF(EM3&lt;0,EM3,"")</f>
        <v>-1013</v>
      </c>
      <c r="EO3" s="23" t="str">
        <f>IF(EM3&gt;0,EM3,"")</f>
        <v/>
      </c>
      <c r="EP3" s="23">
        <f>calc!$AB$5</f>
        <v>5200</v>
      </c>
      <c r="EQ3" s="23">
        <f>calc!$AB$6</f>
        <v>3264</v>
      </c>
      <c r="ER3" s="23">
        <f>EQ3-EP3</f>
        <v>-1936</v>
      </c>
      <c r="ES3" s="23">
        <f>IF(ER3&lt;0,ER3,"")</f>
        <v>-1936</v>
      </c>
      <c r="ET3" s="23" t="str">
        <f>IF(ER3&gt;0,ER3,"")</f>
        <v/>
      </c>
      <c r="EU3" s="23">
        <f>calc!$AC$5</f>
        <v>5184</v>
      </c>
      <c r="EV3" s="23">
        <f>calc!$AC$6</f>
        <v>2939</v>
      </c>
      <c r="EW3" s="23">
        <f>EV3-EU3</f>
        <v>-2245</v>
      </c>
      <c r="EX3" s="23">
        <f>IF(EW3&lt;0,EW3,"")</f>
        <v>-2245</v>
      </c>
      <c r="EY3" s="23" t="str">
        <f>IF(EW3&gt;0,EW3,"")</f>
        <v/>
      </c>
      <c r="EZ3" s="23">
        <f>calc!$AD$5</f>
        <v>4800</v>
      </c>
      <c r="FA3" s="23">
        <f>calc!$AD$6</f>
        <v>2794</v>
      </c>
      <c r="FB3" s="23">
        <f>FA3-EZ3</f>
        <v>-2006</v>
      </c>
      <c r="FC3" s="23">
        <f>IF(FB3&lt;0,FB3,"")</f>
        <v>-2006</v>
      </c>
      <c r="FD3" s="23" t="str">
        <f>IF(FB3&gt;0,FB3,"")</f>
        <v/>
      </c>
      <c r="FE3" s="23">
        <f>calc!$AE$5</f>
        <v>4625</v>
      </c>
      <c r="FF3" s="23">
        <f>calc!$AE$6</f>
        <v>2668</v>
      </c>
      <c r="FG3" s="23">
        <f>FF3-FE3</f>
        <v>-1957</v>
      </c>
      <c r="FH3" s="23">
        <f>IF(FG3&lt;0,FG3,"")</f>
        <v>-1957</v>
      </c>
      <c r="FI3" s="23" t="str">
        <f>IF(FG3&gt;0,FG3,"")</f>
        <v/>
      </c>
      <c r="BUC3" s="23" t="s">
        <v>257</v>
      </c>
      <c r="BUD3" s="23" t="str">
        <f t="shared" ref="BUD3:BUD31" ca="1" si="0">SUBSTITUTE(MID(_xlfn.FORMULATEXT(BUG3),2,FIND("!",_xlfn.FORMULATEXT(BUG3),1)-2), "'","")</f>
        <v>#REF</v>
      </c>
      <c r="BUE3" s="23" t="e">
        <f ca="1" xml:space="preserve"> _xlfn.SHEET(#REF!)</f>
        <v>#REF!</v>
      </c>
      <c r="BUG3" s="23" t="e">
        <f>#REF!</f>
        <v>#REF!</v>
      </c>
      <c r="BUH3" s="40" t="e">
        <f>Veriler!#REF!</f>
        <v>#REF!</v>
      </c>
      <c r="BUI3" s="40" t="e">
        <f>Veriler!#REF!</f>
        <v>#REF!</v>
      </c>
      <c r="BUJ3" s="40">
        <f>Veriler!G$7</f>
        <v>4300</v>
      </c>
      <c r="BUK3" s="40">
        <f>Veriler!H$7</f>
        <v>5100</v>
      </c>
      <c r="BUL3" s="40">
        <f>Veriler!I$7</f>
        <v>4800</v>
      </c>
      <c r="BUM3" s="40">
        <f>Veriler!J$7</f>
        <v>5200</v>
      </c>
      <c r="BUN3" s="40">
        <f>Veriler!K$7</f>
        <v>5100</v>
      </c>
      <c r="BUO3" s="40">
        <f>Veriler!L$7</f>
        <v>4100</v>
      </c>
      <c r="BUP3" s="40">
        <f>Veriler!M$7</f>
        <v>5200</v>
      </c>
      <c r="BUQ3" s="40">
        <f>Veriler!N$7</f>
        <v>5184</v>
      </c>
      <c r="BUR3" s="40">
        <f>Veriler!O$7</f>
        <v>4800</v>
      </c>
      <c r="BUS3" s="40">
        <f>Veriler!P$7</f>
        <v>4625</v>
      </c>
      <c r="BXY3" s="23" t="s">
        <v>264</v>
      </c>
      <c r="BXZ3" s="23" t="str">
        <f t="shared" ref="BXZ3:BXZ8" ca="1" si="1">SUBSTITUTE(MID(_xlfn.FORMULATEXT(BYC3),2,FIND("!",_xlfn.FORMULATEXT(BYC3),1)-2), "'","")</f>
        <v>Statement</v>
      </c>
      <c r="BYA3" s="23">
        <f ca="1">_xlfn.SHEET( Statement!$NTP$1000000)</f>
        <v>5</v>
      </c>
      <c r="BYC3" s="23">
        <f>Statement!$NTP$1000000</f>
        <v>0</v>
      </c>
      <c r="BYD3" s="23" t="str">
        <f>Statement!$C$5</f>
        <v>Satılan Malların Maliyeti</v>
      </c>
      <c r="BYE3" s="50">
        <f>Statement!$D$5</f>
        <v>-1252</v>
      </c>
      <c r="BYF3" s="23">
        <f>BYF2+BYE3</f>
        <v>3848</v>
      </c>
      <c r="BYH3" s="23">
        <f>BYF2</f>
        <v>5100</v>
      </c>
      <c r="BYI3" s="23">
        <f>BYF3</f>
        <v>3848</v>
      </c>
      <c r="BYJ3" s="23">
        <f>MAX(BYH3:BYI3)</f>
        <v>5100</v>
      </c>
      <c r="CJM3" t="s">
        <v>163</v>
      </c>
      <c r="CJN3" t="str">
        <f ca="1">SUBSTITUTE(MID(_xlfn.FORMULATEXT(CJQ3),2,FIND("!",_xlfn.FORMULATEXT(CJQ3),1)-2), "'","")</f>
        <v>calc</v>
      </c>
      <c r="CJO3">
        <f ca="1">_xlfn.SHEET( calc!$NTO$999995)</f>
        <v>4</v>
      </c>
      <c r="CJQ3">
        <f>calc!$NTO$999995</f>
        <v>0</v>
      </c>
      <c r="CJR3">
        <f>MAX( calc!$G$19:$G$20)</f>
        <v>0.26450980392156864</v>
      </c>
      <c r="CJS3">
        <f>calc!$G$19</f>
        <v>0.26450980392156864</v>
      </c>
      <c r="CJU3">
        <f>0.75*CJS3/CJR3</f>
        <v>0.75</v>
      </c>
      <c r="CJV3">
        <f>1-CJU3</f>
        <v>0.25</v>
      </c>
      <c r="CJW3">
        <f>calc!$G$20</f>
        <v>0.14000000000000001</v>
      </c>
      <c r="CJY3">
        <f>0.75*CJW3/CJR3</f>
        <v>0.39696071163825059</v>
      </c>
      <c r="CJZ3">
        <f>1-CJY3</f>
        <v>0.60303928836174947</v>
      </c>
    </row>
    <row r="4" spans="1:2420">
      <c r="BUC4" s="23" t="s">
        <v>257</v>
      </c>
      <c r="BUD4" s="23" t="str">
        <f t="shared" ca="1" si="0"/>
        <v>#REF</v>
      </c>
      <c r="BUE4" s="23" t="e">
        <f ca="1" xml:space="preserve"> _xlfn.SHEET(#REF!)</f>
        <v>#REF!</v>
      </c>
      <c r="BUG4" s="23" t="e">
        <f>#REF!</f>
        <v>#REF!</v>
      </c>
      <c r="BUH4" s="40" t="e">
        <f>Veriler!#REF!</f>
        <v>#REF!</v>
      </c>
      <c r="BUI4" s="40" t="e">
        <f>Veriler!#REF!</f>
        <v>#REF!</v>
      </c>
      <c r="BUJ4" s="40">
        <f>Veriler!G$15</f>
        <v>3040</v>
      </c>
      <c r="BUK4" s="40">
        <f>Veriler!H$15</f>
        <v>2974</v>
      </c>
      <c r="BUL4" s="40">
        <f>Veriler!I$15</f>
        <v>2979</v>
      </c>
      <c r="BUM4" s="40">
        <f>Veriler!J$15</f>
        <v>2993</v>
      </c>
      <c r="BUN4" s="40">
        <f>Veriler!K$15</f>
        <v>3020</v>
      </c>
      <c r="BUO4" s="40">
        <f>Veriler!L$15</f>
        <v>3087</v>
      </c>
      <c r="BUP4" s="40">
        <f>Veriler!M$15</f>
        <v>3264</v>
      </c>
      <c r="BUQ4" s="40">
        <f>Veriler!N$15</f>
        <v>2939</v>
      </c>
      <c r="BUR4" s="40">
        <f>Veriler!O$15</f>
        <v>2794</v>
      </c>
      <c r="BUS4" s="40">
        <f>Veriler!P$15</f>
        <v>2668</v>
      </c>
      <c r="BXY4" s="23" t="s">
        <v>264</v>
      </c>
      <c r="BXZ4" s="23" t="str">
        <f t="shared" ca="1" si="1"/>
        <v>Statement</v>
      </c>
      <c r="BYA4" s="23">
        <f ca="1">_xlfn.SHEET( Statement!$NTP$1000000)</f>
        <v>5</v>
      </c>
      <c r="BYC4" s="23">
        <f>Statement!$NTP$1000000</f>
        <v>0</v>
      </c>
      <c r="BYD4" s="23" t="str">
        <f>Statement!$C$6</f>
        <v>Brüt Kar</v>
      </c>
      <c r="BYE4" s="50">
        <f>Statement!$D$6</f>
        <v>3848</v>
      </c>
      <c r="BYF4" s="23">
        <f>BYF3+BYE4</f>
        <v>7696</v>
      </c>
      <c r="BYH4" s="23">
        <f>BYF3</f>
        <v>3848</v>
      </c>
      <c r="BYI4" s="23">
        <f>BYF4</f>
        <v>7696</v>
      </c>
      <c r="BYJ4" s="23">
        <f>MAX(BYH4:BYI4)</f>
        <v>7696</v>
      </c>
    </row>
    <row r="5" spans="1:2420">
      <c r="BUC5" s="23" t="s">
        <v>257</v>
      </c>
      <c r="BUD5" s="23" t="str">
        <f t="shared" ca="1" si="0"/>
        <v>#REF</v>
      </c>
      <c r="BUE5" s="23" t="e">
        <f ca="1" xml:space="preserve"> _xlfn.SHEET(#REF!)</f>
        <v>#REF!</v>
      </c>
      <c r="BUG5" s="23" t="e">
        <f>#REF!</f>
        <v>#REF!</v>
      </c>
      <c r="BUH5" s="27" t="s">
        <v>258</v>
      </c>
      <c r="BXY5" s="23" t="s">
        <v>264</v>
      </c>
      <c r="BXZ5" s="23" t="str">
        <f t="shared" ca="1" si="1"/>
        <v>Statement</v>
      </c>
      <c r="BYA5" s="23">
        <f ca="1">_xlfn.SHEET( Statement!$NTP$1000000)</f>
        <v>5</v>
      </c>
      <c r="BYC5" s="23">
        <f>Statement!$NTP$1000000</f>
        <v>0</v>
      </c>
      <c r="BYD5" s="23" t="str">
        <f>Statement!$C$7</f>
        <v xml:space="preserve">Toplam Faaliyet Giderleri  </v>
      </c>
      <c r="BYE5" s="50">
        <f>Statement!$D$7</f>
        <v>-1722</v>
      </c>
      <c r="BYF5" s="23">
        <f>BYF4+BYE5</f>
        <v>5974</v>
      </c>
      <c r="BYH5" s="23">
        <f>BYF4</f>
        <v>7696</v>
      </c>
      <c r="BYI5" s="23">
        <f>BYF5</f>
        <v>5974</v>
      </c>
      <c r="BYJ5" s="23">
        <f>MAX(BYH5:BYI5)</f>
        <v>7696</v>
      </c>
    </row>
    <row r="6" spans="1:2420">
      <c r="BUC6" s="23" t="s">
        <v>257</v>
      </c>
      <c r="BUD6" s="23" t="str">
        <f t="shared" ca="1" si="0"/>
        <v>#REF</v>
      </c>
      <c r="BUE6" s="23" t="e">
        <f ca="1" xml:space="preserve"> _xlfn.SHEET(#REF!)</f>
        <v>#REF!</v>
      </c>
      <c r="BUG6" s="23" t="e">
        <f>#REF!</f>
        <v>#REF!</v>
      </c>
      <c r="BUH6" s="28" t="s">
        <v>76</v>
      </c>
      <c r="BUI6" s="28" t="s">
        <v>76</v>
      </c>
      <c r="BUJ6" s="28" t="s">
        <v>76</v>
      </c>
      <c r="BUK6" s="28" t="s">
        <v>76</v>
      </c>
      <c r="BUL6" s="28" t="s">
        <v>76</v>
      </c>
      <c r="BUM6" s="28" t="s">
        <v>76</v>
      </c>
      <c r="BUN6" s="28" t="s">
        <v>76</v>
      </c>
      <c r="BUO6" s="28" t="s">
        <v>76</v>
      </c>
      <c r="BUP6" s="28" t="s">
        <v>76</v>
      </c>
      <c r="BUQ6" s="28" t="s">
        <v>76</v>
      </c>
      <c r="BUR6" s="28" t="s">
        <v>76</v>
      </c>
      <c r="BUS6" s="28" t="s">
        <v>76</v>
      </c>
      <c r="BXY6" s="23" t="s">
        <v>264</v>
      </c>
      <c r="BXZ6" s="23" t="str">
        <f t="shared" ca="1" si="1"/>
        <v>Statement</v>
      </c>
      <c r="BYA6" s="23">
        <f ca="1">_xlfn.SHEET( Statement!$NTP$1000000)</f>
        <v>5</v>
      </c>
      <c r="BYC6" s="23">
        <f>Statement!$NTP$1000000</f>
        <v>0</v>
      </c>
      <c r="BYD6" s="23" t="str">
        <f>Statement!$C$8</f>
        <v>Faaliyet Karı (EBIT)</v>
      </c>
      <c r="BYE6" s="50">
        <f>Statement!$D$8</f>
        <v>2126</v>
      </c>
      <c r="BYF6" s="23">
        <f>BYF5+BYE6</f>
        <v>8100</v>
      </c>
      <c r="BYH6" s="23">
        <f>BYF5</f>
        <v>5974</v>
      </c>
      <c r="BYI6" s="23">
        <f>BYF6</f>
        <v>8100</v>
      </c>
      <c r="BYJ6" s="23">
        <f>MAX(BYH6:BYI6)</f>
        <v>8100</v>
      </c>
    </row>
    <row r="7" spans="1:2420">
      <c r="BUC7" s="23" t="s">
        <v>257</v>
      </c>
      <c r="BUD7" s="23" t="str">
        <f t="shared" ca="1" si="0"/>
        <v>#REF</v>
      </c>
      <c r="BUE7" s="23" t="e">
        <f ca="1" xml:space="preserve"> _xlfn.SHEET(#REF!)</f>
        <v>#REF!</v>
      </c>
      <c r="BUG7" s="23" t="e">
        <f>#REF!</f>
        <v>#REF!</v>
      </c>
      <c r="BUH7" s="28" t="str">
        <f>CONCATENATE(BUH6," ",BUH8)</f>
        <v>Green 1</v>
      </c>
      <c r="BUI7" s="28" t="str">
        <f t="shared" ref="BUI7:BUS7" si="2">CONCATENATE(BUI6," ",BUI8)</f>
        <v>Green 2</v>
      </c>
      <c r="BUJ7" s="28" t="str">
        <f t="shared" si="2"/>
        <v>Green 3</v>
      </c>
      <c r="BUK7" s="28" t="str">
        <f t="shared" si="2"/>
        <v>Green 4</v>
      </c>
      <c r="BUL7" s="28" t="str">
        <f t="shared" si="2"/>
        <v>Green 5</v>
      </c>
      <c r="BUM7" s="28" t="str">
        <f t="shared" si="2"/>
        <v>Green 6</v>
      </c>
      <c r="BUN7" s="28" t="str">
        <f t="shared" si="2"/>
        <v>Green 7</v>
      </c>
      <c r="BUO7" s="28" t="str">
        <f t="shared" si="2"/>
        <v>Green 8</v>
      </c>
      <c r="BUP7" s="28" t="str">
        <f t="shared" si="2"/>
        <v>Green 9</v>
      </c>
      <c r="BUQ7" s="28" t="str">
        <f t="shared" si="2"/>
        <v>Green 10</v>
      </c>
      <c r="BUR7" s="28" t="str">
        <f t="shared" si="2"/>
        <v>Green 11</v>
      </c>
      <c r="BUS7" s="28" t="str">
        <f t="shared" si="2"/>
        <v>Green 12</v>
      </c>
      <c r="BXY7" s="23" t="s">
        <v>264</v>
      </c>
      <c r="BXZ7" s="23" t="str">
        <f t="shared" ca="1" si="1"/>
        <v>Statement</v>
      </c>
      <c r="BYA7" s="23">
        <f ca="1">_xlfn.SHEET( Statement!$NTP$1000000)</f>
        <v>5</v>
      </c>
      <c r="BYC7" s="23">
        <f>Statement!$NTP$1000000</f>
        <v>0</v>
      </c>
      <c r="BYD7" s="23" t="str">
        <f>Statement!$C$9</f>
        <v>Vergiler</v>
      </c>
      <c r="BYE7" s="50">
        <f>Statement!$D$9</f>
        <v>-777</v>
      </c>
      <c r="BYF7" s="23">
        <f>BYF6+BYE7</f>
        <v>7323</v>
      </c>
      <c r="BYH7" s="23">
        <f>BYF6</f>
        <v>8100</v>
      </c>
      <c r="BYI7" s="23">
        <f>BYF7</f>
        <v>7323</v>
      </c>
      <c r="BYJ7" s="23">
        <f>MAX(BYH7:BYI7)</f>
        <v>8100</v>
      </c>
    </row>
    <row r="8" spans="1:2420">
      <c r="BUC8" s="23" t="s">
        <v>257</v>
      </c>
      <c r="BUD8" s="23" t="str">
        <f t="shared" ca="1" si="0"/>
        <v>#REF</v>
      </c>
      <c r="BUE8" s="23" t="e">
        <f ca="1" xml:space="preserve"> _xlfn.SHEET(#REF!)</f>
        <v>#REF!</v>
      </c>
      <c r="BUG8" s="23" t="e">
        <f>#REF!</f>
        <v>#REF!</v>
      </c>
      <c r="BUH8" s="29">
        <v>1</v>
      </c>
      <c r="BUI8" s="29">
        <f t="shared" ref="BUI8:BUS8" si="3">BUH8+1</f>
        <v>2</v>
      </c>
      <c r="BUJ8" s="29">
        <f t="shared" si="3"/>
        <v>3</v>
      </c>
      <c r="BUK8" s="29">
        <f t="shared" si="3"/>
        <v>4</v>
      </c>
      <c r="BUL8" s="29">
        <f t="shared" si="3"/>
        <v>5</v>
      </c>
      <c r="BUM8" s="29">
        <f t="shared" si="3"/>
        <v>6</v>
      </c>
      <c r="BUN8" s="29">
        <f t="shared" si="3"/>
        <v>7</v>
      </c>
      <c r="BUO8" s="29">
        <f t="shared" si="3"/>
        <v>8</v>
      </c>
      <c r="BUP8" s="29">
        <f t="shared" si="3"/>
        <v>9</v>
      </c>
      <c r="BUQ8" s="29">
        <f t="shared" si="3"/>
        <v>10</v>
      </c>
      <c r="BUR8" s="29">
        <f t="shared" si="3"/>
        <v>11</v>
      </c>
      <c r="BUS8" s="29">
        <f t="shared" si="3"/>
        <v>12</v>
      </c>
      <c r="BXY8" s="23" t="s">
        <v>264</v>
      </c>
      <c r="BXZ8" s="23" t="str">
        <f t="shared" ca="1" si="1"/>
        <v>Statement</v>
      </c>
      <c r="BYA8" s="23">
        <f ca="1">_xlfn.SHEET( Statement!$NTP$1000000)</f>
        <v>5</v>
      </c>
      <c r="BYC8" s="23">
        <f>Statement!$NTP$1000000</f>
        <v>0</v>
      </c>
      <c r="BYD8" s="23" t="str">
        <f>Statement!$C$10</f>
        <v xml:space="preserve">Net Kâr   </v>
      </c>
      <c r="BYE8" s="50"/>
      <c r="BYG8" s="23">
        <f>BYF7</f>
        <v>7323</v>
      </c>
    </row>
    <row r="9" spans="1:2420">
      <c r="BUC9" s="23" t="s">
        <v>257</v>
      </c>
      <c r="BUD9" s="23" t="str">
        <f t="shared" ca="1" si="0"/>
        <v>#REF</v>
      </c>
      <c r="BUE9" s="23" t="e">
        <f ca="1" xml:space="preserve"> _xlfn.SHEET(#REF!)</f>
        <v>#REF!</v>
      </c>
      <c r="BUG9" s="23" t="e">
        <f>#REF!</f>
        <v>#REF!</v>
      </c>
      <c r="BUH9" s="29">
        <f>BUH8</f>
        <v>1</v>
      </c>
      <c r="BUI9" s="29">
        <f t="shared" ref="BUI9:BUS9" si="4">BUI8</f>
        <v>2</v>
      </c>
      <c r="BUJ9" s="29">
        <f t="shared" si="4"/>
        <v>3</v>
      </c>
      <c r="BUK9" s="29">
        <f t="shared" si="4"/>
        <v>4</v>
      </c>
      <c r="BUL9" s="29">
        <f t="shared" si="4"/>
        <v>5</v>
      </c>
      <c r="BUM9" s="29">
        <f t="shared" si="4"/>
        <v>6</v>
      </c>
      <c r="BUN9" s="29">
        <f t="shared" si="4"/>
        <v>7</v>
      </c>
      <c r="BUO9" s="29">
        <f t="shared" si="4"/>
        <v>8</v>
      </c>
      <c r="BUP9" s="29">
        <f t="shared" si="4"/>
        <v>9</v>
      </c>
      <c r="BUQ9" s="29">
        <f t="shared" si="4"/>
        <v>10</v>
      </c>
      <c r="BUR9" s="29">
        <f t="shared" si="4"/>
        <v>11</v>
      </c>
      <c r="BUS9" s="29">
        <f t="shared" si="4"/>
        <v>12</v>
      </c>
    </row>
    <row r="10" spans="1:2420">
      <c r="BUC10" s="23" t="s">
        <v>257</v>
      </c>
      <c r="BUD10" s="23" t="str">
        <f t="shared" ca="1" si="0"/>
        <v>#REF</v>
      </c>
      <c r="BUE10" s="23" t="e">
        <f ca="1" xml:space="preserve"> _xlfn.SHEET(#REF!)</f>
        <v>#REF!</v>
      </c>
      <c r="BUG10" s="23" t="e">
        <f>#REF!</f>
        <v>#REF!</v>
      </c>
      <c r="BUH10" s="29" t="e">
        <f t="shared" ref="BUH10:BUS10" si="5">IF(BUH4&gt;BUH3,BUH3,0)</f>
        <v>#REF!</v>
      </c>
      <c r="BUI10" s="29" t="e">
        <f t="shared" si="5"/>
        <v>#REF!</v>
      </c>
      <c r="BUJ10" s="29">
        <f t="shared" si="5"/>
        <v>0</v>
      </c>
      <c r="BUK10" s="29">
        <f t="shared" si="5"/>
        <v>0</v>
      </c>
      <c r="BUL10" s="29">
        <f t="shared" si="5"/>
        <v>0</v>
      </c>
      <c r="BUM10" s="29">
        <f t="shared" si="5"/>
        <v>0</v>
      </c>
      <c r="BUN10" s="29">
        <f t="shared" si="5"/>
        <v>0</v>
      </c>
      <c r="BUO10" s="29">
        <f t="shared" si="5"/>
        <v>0</v>
      </c>
      <c r="BUP10" s="29">
        <f t="shared" si="5"/>
        <v>0</v>
      </c>
      <c r="BUQ10" s="29">
        <f t="shared" si="5"/>
        <v>0</v>
      </c>
      <c r="BUR10" s="29">
        <f t="shared" si="5"/>
        <v>0</v>
      </c>
      <c r="BUS10" s="29">
        <f t="shared" si="5"/>
        <v>0</v>
      </c>
    </row>
    <row r="11" spans="1:2420">
      <c r="BUC11" s="23" t="s">
        <v>257</v>
      </c>
      <c r="BUD11" s="23" t="str">
        <f t="shared" ca="1" si="0"/>
        <v>#REF</v>
      </c>
      <c r="BUE11" s="23" t="e">
        <f ca="1" xml:space="preserve"> _xlfn.SHEET(#REF!)</f>
        <v>#REF!</v>
      </c>
      <c r="BUG11" s="23" t="e">
        <f>#REF!</f>
        <v>#REF!</v>
      </c>
      <c r="BUH11" s="29" t="e">
        <f t="shared" ref="BUH11:BUS11" si="6">IF(BUH4&gt;BUH3,BUH4,0)</f>
        <v>#REF!</v>
      </c>
      <c r="BUI11" s="29" t="e">
        <f t="shared" si="6"/>
        <v>#REF!</v>
      </c>
      <c r="BUJ11" s="29">
        <f t="shared" si="6"/>
        <v>0</v>
      </c>
      <c r="BUK11" s="29">
        <f t="shared" si="6"/>
        <v>0</v>
      </c>
      <c r="BUL11" s="29">
        <f t="shared" si="6"/>
        <v>0</v>
      </c>
      <c r="BUM11" s="29">
        <f t="shared" si="6"/>
        <v>0</v>
      </c>
      <c r="BUN11" s="29">
        <f t="shared" si="6"/>
        <v>0</v>
      </c>
      <c r="BUO11" s="29">
        <f t="shared" si="6"/>
        <v>0</v>
      </c>
      <c r="BUP11" s="29">
        <f t="shared" si="6"/>
        <v>0</v>
      </c>
      <c r="BUQ11" s="29">
        <f t="shared" si="6"/>
        <v>0</v>
      </c>
      <c r="BUR11" s="29">
        <f t="shared" si="6"/>
        <v>0</v>
      </c>
      <c r="BUS11" s="29">
        <f t="shared" si="6"/>
        <v>0</v>
      </c>
    </row>
    <row r="12" spans="1:2420">
      <c r="BUC12" s="23" t="s">
        <v>257</v>
      </c>
      <c r="BUD12" s="23" t="str">
        <f t="shared" ca="1" si="0"/>
        <v>#REF</v>
      </c>
      <c r="BUE12" s="23" t="e">
        <f ca="1" xml:space="preserve"> _xlfn.SHEET(#REF!)</f>
        <v>#REF!</v>
      </c>
      <c r="BUG12" s="23" t="e">
        <f>#REF!</f>
        <v>#REF!</v>
      </c>
      <c r="BUH12" s="30" t="s">
        <v>259</v>
      </c>
      <c r="BUI12" s="30" t="s">
        <v>259</v>
      </c>
      <c r="BUJ12" s="30" t="s">
        <v>259</v>
      </c>
      <c r="BUK12" s="30" t="s">
        <v>259</v>
      </c>
      <c r="BUL12" s="30" t="s">
        <v>259</v>
      </c>
      <c r="BUM12" s="30" t="s">
        <v>259</v>
      </c>
      <c r="BUN12" s="30" t="s">
        <v>259</v>
      </c>
      <c r="BUO12" s="30" t="s">
        <v>259</v>
      </c>
      <c r="BUP12" s="30" t="s">
        <v>259</v>
      </c>
      <c r="BUQ12" s="30" t="s">
        <v>259</v>
      </c>
      <c r="BUR12" s="30" t="s">
        <v>259</v>
      </c>
      <c r="BUS12" s="30" t="s">
        <v>259</v>
      </c>
    </row>
    <row r="13" spans="1:2420">
      <c r="BUC13" s="23" t="s">
        <v>257</v>
      </c>
      <c r="BUD13" s="23" t="str">
        <f t="shared" ca="1" si="0"/>
        <v>#REF</v>
      </c>
      <c r="BUE13" s="23" t="e">
        <f ca="1" xml:space="preserve"> _xlfn.SHEET(#REF!)</f>
        <v>#REF!</v>
      </c>
      <c r="BUG13" s="23" t="e">
        <f>#REF!</f>
        <v>#REF!</v>
      </c>
      <c r="BUH13" s="30" t="str">
        <f>CONCATENATE(BUH12," ",BUH14)</f>
        <v>Red 1</v>
      </c>
      <c r="BUI13" s="30" t="str">
        <f t="shared" ref="BUI13:BUS13" si="7">CONCATENATE(BUI12," ",BUI14)</f>
        <v>Red 2</v>
      </c>
      <c r="BUJ13" s="30" t="str">
        <f t="shared" si="7"/>
        <v>Red 3</v>
      </c>
      <c r="BUK13" s="30" t="str">
        <f t="shared" si="7"/>
        <v>Red 4</v>
      </c>
      <c r="BUL13" s="30" t="str">
        <f t="shared" si="7"/>
        <v>Red 5</v>
      </c>
      <c r="BUM13" s="30" t="str">
        <f t="shared" si="7"/>
        <v>Red 6</v>
      </c>
      <c r="BUN13" s="30" t="str">
        <f t="shared" si="7"/>
        <v>Red 7</v>
      </c>
      <c r="BUO13" s="30" t="str">
        <f t="shared" si="7"/>
        <v>Red 8</v>
      </c>
      <c r="BUP13" s="30" t="str">
        <f t="shared" si="7"/>
        <v>Red 9</v>
      </c>
      <c r="BUQ13" s="30" t="str">
        <f t="shared" si="7"/>
        <v>Red 10</v>
      </c>
      <c r="BUR13" s="30" t="str">
        <f t="shared" si="7"/>
        <v>Red 11</v>
      </c>
      <c r="BUS13" s="30" t="str">
        <f t="shared" si="7"/>
        <v>Red 12</v>
      </c>
    </row>
    <row r="14" spans="1:2420">
      <c r="BUC14" s="23" t="s">
        <v>257</v>
      </c>
      <c r="BUD14" s="23" t="str">
        <f t="shared" ca="1" si="0"/>
        <v>#REF</v>
      </c>
      <c r="BUE14" s="23" t="e">
        <f ca="1" xml:space="preserve"> _xlfn.SHEET(#REF!)</f>
        <v>#REF!</v>
      </c>
      <c r="BUG14" s="23" t="e">
        <f>#REF!</f>
        <v>#REF!</v>
      </c>
      <c r="BUH14" s="31">
        <f>BUH8</f>
        <v>1</v>
      </c>
      <c r="BUI14" s="31">
        <f t="shared" ref="BUI14:BUS14" si="8">BUI8</f>
        <v>2</v>
      </c>
      <c r="BUJ14" s="31">
        <f t="shared" si="8"/>
        <v>3</v>
      </c>
      <c r="BUK14" s="31">
        <f t="shared" si="8"/>
        <v>4</v>
      </c>
      <c r="BUL14" s="31">
        <f t="shared" si="8"/>
        <v>5</v>
      </c>
      <c r="BUM14" s="31">
        <f t="shared" si="8"/>
        <v>6</v>
      </c>
      <c r="BUN14" s="31">
        <f t="shared" si="8"/>
        <v>7</v>
      </c>
      <c r="BUO14" s="31">
        <f t="shared" si="8"/>
        <v>8</v>
      </c>
      <c r="BUP14" s="31">
        <f t="shared" si="8"/>
        <v>9</v>
      </c>
      <c r="BUQ14" s="31">
        <f t="shared" si="8"/>
        <v>10</v>
      </c>
      <c r="BUR14" s="31">
        <f t="shared" si="8"/>
        <v>11</v>
      </c>
      <c r="BUS14" s="31">
        <f t="shared" si="8"/>
        <v>12</v>
      </c>
    </row>
    <row r="15" spans="1:2420">
      <c r="BUC15" s="23" t="s">
        <v>257</v>
      </c>
      <c r="BUD15" s="23" t="str">
        <f t="shared" ca="1" si="0"/>
        <v>#REF</v>
      </c>
      <c r="BUE15" s="23" t="e">
        <f ca="1" xml:space="preserve"> _xlfn.SHEET(#REF!)</f>
        <v>#REF!</v>
      </c>
      <c r="BUG15" s="23" t="e">
        <f>#REF!</f>
        <v>#REF!</v>
      </c>
      <c r="BUH15" s="31">
        <f>BUH8</f>
        <v>1</v>
      </c>
      <c r="BUI15" s="31">
        <f t="shared" ref="BUI15:BUS15" si="9">BUI8</f>
        <v>2</v>
      </c>
      <c r="BUJ15" s="31">
        <f t="shared" si="9"/>
        <v>3</v>
      </c>
      <c r="BUK15" s="31">
        <f t="shared" si="9"/>
        <v>4</v>
      </c>
      <c r="BUL15" s="31">
        <f t="shared" si="9"/>
        <v>5</v>
      </c>
      <c r="BUM15" s="31">
        <f t="shared" si="9"/>
        <v>6</v>
      </c>
      <c r="BUN15" s="31">
        <f t="shared" si="9"/>
        <v>7</v>
      </c>
      <c r="BUO15" s="31">
        <f t="shared" si="9"/>
        <v>8</v>
      </c>
      <c r="BUP15" s="31">
        <f t="shared" si="9"/>
        <v>9</v>
      </c>
      <c r="BUQ15" s="31">
        <f t="shared" si="9"/>
        <v>10</v>
      </c>
      <c r="BUR15" s="31">
        <f t="shared" si="9"/>
        <v>11</v>
      </c>
      <c r="BUS15" s="31">
        <f t="shared" si="9"/>
        <v>12</v>
      </c>
    </row>
    <row r="16" spans="1:2420">
      <c r="BUC16" s="23" t="s">
        <v>257</v>
      </c>
      <c r="BUD16" s="23" t="str">
        <f t="shared" ca="1" si="0"/>
        <v>#REF</v>
      </c>
      <c r="BUE16" s="23" t="e">
        <f ca="1" xml:space="preserve"> _xlfn.SHEET(#REF!)</f>
        <v>#REF!</v>
      </c>
      <c r="BUG16" s="23" t="e">
        <f>#REF!</f>
        <v>#REF!</v>
      </c>
      <c r="BUH16" s="31" t="e">
        <f t="shared" ref="BUH16:BUS16" si="10">IF(BUH3&gt;BUH4,BUH3,0)</f>
        <v>#REF!</v>
      </c>
      <c r="BUI16" s="31" t="e">
        <f t="shared" si="10"/>
        <v>#REF!</v>
      </c>
      <c r="BUJ16" s="31">
        <f t="shared" si="10"/>
        <v>4300</v>
      </c>
      <c r="BUK16" s="31">
        <f t="shared" si="10"/>
        <v>5100</v>
      </c>
      <c r="BUL16" s="31">
        <f t="shared" si="10"/>
        <v>4800</v>
      </c>
      <c r="BUM16" s="31">
        <f t="shared" si="10"/>
        <v>5200</v>
      </c>
      <c r="BUN16" s="31">
        <f t="shared" si="10"/>
        <v>5100</v>
      </c>
      <c r="BUO16" s="31">
        <f t="shared" si="10"/>
        <v>4100</v>
      </c>
      <c r="BUP16" s="31">
        <f t="shared" si="10"/>
        <v>5200</v>
      </c>
      <c r="BUQ16" s="31">
        <f t="shared" si="10"/>
        <v>5184</v>
      </c>
      <c r="BUR16" s="31">
        <f t="shared" si="10"/>
        <v>4800</v>
      </c>
      <c r="BUS16" s="31">
        <f t="shared" si="10"/>
        <v>4625</v>
      </c>
    </row>
    <row r="17" spans="1901:1917">
      <c r="BUC17" s="23" t="s">
        <v>257</v>
      </c>
      <c r="BUD17" s="23" t="str">
        <f t="shared" ca="1" si="0"/>
        <v>#REF</v>
      </c>
      <c r="BUE17" s="23" t="e">
        <f ca="1" xml:space="preserve"> _xlfn.SHEET(#REF!)</f>
        <v>#REF!</v>
      </c>
      <c r="BUG17" s="23" t="e">
        <f>#REF!</f>
        <v>#REF!</v>
      </c>
      <c r="BUH17" s="31" t="e">
        <f t="shared" ref="BUH17:BUS17" si="11">IF(BUH3&gt;BUH4,BUH4,0)</f>
        <v>#REF!</v>
      </c>
      <c r="BUI17" s="31" t="e">
        <f t="shared" si="11"/>
        <v>#REF!</v>
      </c>
      <c r="BUJ17" s="31">
        <f t="shared" si="11"/>
        <v>3040</v>
      </c>
      <c r="BUK17" s="31">
        <f t="shared" si="11"/>
        <v>2974</v>
      </c>
      <c r="BUL17" s="31">
        <f t="shared" si="11"/>
        <v>2979</v>
      </c>
      <c r="BUM17" s="31">
        <f t="shared" si="11"/>
        <v>2993</v>
      </c>
      <c r="BUN17" s="31">
        <f t="shared" si="11"/>
        <v>3020</v>
      </c>
      <c r="BUO17" s="31">
        <f t="shared" si="11"/>
        <v>3087</v>
      </c>
      <c r="BUP17" s="31">
        <f t="shared" si="11"/>
        <v>3264</v>
      </c>
      <c r="BUQ17" s="31">
        <f t="shared" si="11"/>
        <v>2939</v>
      </c>
      <c r="BUR17" s="31">
        <f t="shared" si="11"/>
        <v>2794</v>
      </c>
      <c r="BUS17" s="31">
        <f t="shared" si="11"/>
        <v>2668</v>
      </c>
    </row>
    <row r="18" spans="1901:1917">
      <c r="BUC18" s="23" t="s">
        <v>257</v>
      </c>
      <c r="BUD18" s="23" t="str">
        <f t="shared" ca="1" si="0"/>
        <v>#REF</v>
      </c>
      <c r="BUE18" s="23" t="e">
        <f ca="1" xml:space="preserve"> _xlfn.SHEET(#REF!)</f>
        <v>#REF!</v>
      </c>
      <c r="BUG18" s="23" t="e">
        <f>#REF!</f>
        <v>#REF!</v>
      </c>
      <c r="BUH18" s="32" t="s">
        <v>260</v>
      </c>
      <c r="BUI18" s="32" t="s">
        <v>260</v>
      </c>
      <c r="BUJ18" s="32" t="s">
        <v>260</v>
      </c>
      <c r="BUK18" s="32" t="s">
        <v>260</v>
      </c>
      <c r="BUL18" s="32" t="s">
        <v>260</v>
      </c>
      <c r="BUM18" s="32" t="s">
        <v>260</v>
      </c>
      <c r="BUN18" s="32" t="s">
        <v>260</v>
      </c>
      <c r="BUO18" s="32" t="s">
        <v>260</v>
      </c>
      <c r="BUP18" s="32" t="s">
        <v>260</v>
      </c>
      <c r="BUQ18" s="32" t="s">
        <v>260</v>
      </c>
      <c r="BUR18" s="32" t="s">
        <v>260</v>
      </c>
      <c r="BUS18" s="32" t="s">
        <v>260</v>
      </c>
    </row>
    <row r="19" spans="1901:1917">
      <c r="BUC19" s="23" t="s">
        <v>257</v>
      </c>
      <c r="BUD19" s="23" t="str">
        <f t="shared" ca="1" si="0"/>
        <v>#REF</v>
      </c>
      <c r="BUE19" s="23" t="e">
        <f ca="1" xml:space="preserve"> _xlfn.SHEET(#REF!)</f>
        <v>#REF!</v>
      </c>
      <c r="BUG19" s="23" t="e">
        <f>#REF!</f>
        <v>#REF!</v>
      </c>
      <c r="BUH19" s="32" t="str">
        <f>CONCATENATE(BUH18," ",BUH8)</f>
        <v>Actual 1</v>
      </c>
      <c r="BUI19" s="32" t="str">
        <f t="shared" ref="BUI19:BUS19" si="12">CONCATENATE(BUI18," ",BUI8)</f>
        <v>Actual 2</v>
      </c>
      <c r="BUJ19" s="32" t="str">
        <f t="shared" si="12"/>
        <v>Actual 3</v>
      </c>
      <c r="BUK19" s="32" t="str">
        <f t="shared" si="12"/>
        <v>Actual 4</v>
      </c>
      <c r="BUL19" s="32" t="str">
        <f t="shared" si="12"/>
        <v>Actual 5</v>
      </c>
      <c r="BUM19" s="32" t="str">
        <f t="shared" si="12"/>
        <v>Actual 6</v>
      </c>
      <c r="BUN19" s="32" t="str">
        <f t="shared" si="12"/>
        <v>Actual 7</v>
      </c>
      <c r="BUO19" s="32" t="str">
        <f t="shared" si="12"/>
        <v>Actual 8</v>
      </c>
      <c r="BUP19" s="32" t="str">
        <f t="shared" si="12"/>
        <v>Actual 9</v>
      </c>
      <c r="BUQ19" s="32" t="str">
        <f t="shared" si="12"/>
        <v>Actual 10</v>
      </c>
      <c r="BUR19" s="32" t="str">
        <f t="shared" si="12"/>
        <v>Actual 11</v>
      </c>
      <c r="BUS19" s="32" t="str">
        <f t="shared" si="12"/>
        <v>Actual 12</v>
      </c>
    </row>
    <row r="20" spans="1901:1917">
      <c r="BUC20" s="23" t="s">
        <v>257</v>
      </c>
      <c r="BUD20" s="23" t="str">
        <f t="shared" ca="1" si="0"/>
        <v>#REF</v>
      </c>
      <c r="BUE20" s="23" t="e">
        <f ca="1" xml:space="preserve"> _xlfn.SHEET(#REF!)</f>
        <v>#REF!</v>
      </c>
      <c r="BUG20" s="23" t="e">
        <f>#REF!</f>
        <v>#REF!</v>
      </c>
      <c r="BUH20" s="33">
        <f>BUH8-0.25</f>
        <v>0.75</v>
      </c>
      <c r="BUI20" s="33">
        <f t="shared" ref="BUI20:BUS20" si="13">BUI8-0.25</f>
        <v>1.75</v>
      </c>
      <c r="BUJ20" s="33">
        <f t="shared" si="13"/>
        <v>2.75</v>
      </c>
      <c r="BUK20" s="33">
        <f t="shared" si="13"/>
        <v>3.75</v>
      </c>
      <c r="BUL20" s="33">
        <f t="shared" si="13"/>
        <v>4.75</v>
      </c>
      <c r="BUM20" s="33">
        <f t="shared" si="13"/>
        <v>5.75</v>
      </c>
      <c r="BUN20" s="33">
        <f t="shared" si="13"/>
        <v>6.75</v>
      </c>
      <c r="BUO20" s="33">
        <f t="shared" si="13"/>
        <v>7.75</v>
      </c>
      <c r="BUP20" s="33">
        <f t="shared" si="13"/>
        <v>8.75</v>
      </c>
      <c r="BUQ20" s="33">
        <f t="shared" si="13"/>
        <v>9.75</v>
      </c>
      <c r="BUR20" s="33">
        <f t="shared" si="13"/>
        <v>10.75</v>
      </c>
      <c r="BUS20" s="33">
        <f t="shared" si="13"/>
        <v>11.75</v>
      </c>
    </row>
    <row r="21" spans="1901:1917">
      <c r="BUC21" s="23" t="s">
        <v>257</v>
      </c>
      <c r="BUD21" s="23" t="str">
        <f t="shared" ca="1" si="0"/>
        <v>#REF</v>
      </c>
      <c r="BUE21" s="23" t="e">
        <f ca="1" xml:space="preserve"> _xlfn.SHEET(#REF!)</f>
        <v>#REF!</v>
      </c>
      <c r="BUG21" s="23" t="e">
        <f>#REF!</f>
        <v>#REF!</v>
      </c>
      <c r="BUH21" s="33">
        <f>BUH8-0.25</f>
        <v>0.75</v>
      </c>
      <c r="BUI21" s="33">
        <f t="shared" ref="BUI21:BUS21" si="14">BUI8-0.25</f>
        <v>1.75</v>
      </c>
      <c r="BUJ21" s="33">
        <f t="shared" si="14"/>
        <v>2.75</v>
      </c>
      <c r="BUK21" s="33">
        <f t="shared" si="14"/>
        <v>3.75</v>
      </c>
      <c r="BUL21" s="33">
        <f t="shared" si="14"/>
        <v>4.75</v>
      </c>
      <c r="BUM21" s="33">
        <f t="shared" si="14"/>
        <v>5.75</v>
      </c>
      <c r="BUN21" s="33">
        <f t="shared" si="14"/>
        <v>6.75</v>
      </c>
      <c r="BUO21" s="33">
        <f t="shared" si="14"/>
        <v>7.75</v>
      </c>
      <c r="BUP21" s="33">
        <f t="shared" si="14"/>
        <v>8.75</v>
      </c>
      <c r="BUQ21" s="33">
        <f t="shared" si="14"/>
        <v>9.75</v>
      </c>
      <c r="BUR21" s="33">
        <f t="shared" si="14"/>
        <v>10.75</v>
      </c>
      <c r="BUS21" s="33">
        <f t="shared" si="14"/>
        <v>11.75</v>
      </c>
    </row>
    <row r="22" spans="1901:1917">
      <c r="BUC22" s="23" t="s">
        <v>257</v>
      </c>
      <c r="BUD22" s="23" t="str">
        <f t="shared" ca="1" si="0"/>
        <v>#REF</v>
      </c>
      <c r="BUE22" s="23" t="e">
        <f ca="1" xml:space="preserve"> _xlfn.SHEET(#REF!)</f>
        <v>#REF!</v>
      </c>
      <c r="BUG22" s="23" t="e">
        <f>#REF!</f>
        <v>#REF!</v>
      </c>
      <c r="BUH22" s="33">
        <v>0</v>
      </c>
      <c r="BUI22" s="33">
        <v>0</v>
      </c>
      <c r="BUJ22" s="33">
        <v>0</v>
      </c>
      <c r="BUK22" s="33">
        <v>0</v>
      </c>
      <c r="BUL22" s="33">
        <v>0</v>
      </c>
      <c r="BUM22" s="33">
        <v>0</v>
      </c>
      <c r="BUN22" s="33">
        <v>0</v>
      </c>
      <c r="BUO22" s="33">
        <v>0</v>
      </c>
      <c r="BUP22" s="33">
        <v>0</v>
      </c>
      <c r="BUQ22" s="33">
        <v>0</v>
      </c>
      <c r="BUR22" s="33">
        <v>0</v>
      </c>
      <c r="BUS22" s="33">
        <v>0</v>
      </c>
    </row>
    <row r="23" spans="1901:1917">
      <c r="BUC23" s="23" t="s">
        <v>257</v>
      </c>
      <c r="BUD23" s="23" t="str">
        <f t="shared" ca="1" si="0"/>
        <v>#REF</v>
      </c>
      <c r="BUE23" s="23" t="e">
        <f ca="1" xml:space="preserve"> _xlfn.SHEET(#REF!)</f>
        <v>#REF!</v>
      </c>
      <c r="BUG23" s="23" t="e">
        <f>#REF!</f>
        <v>#REF!</v>
      </c>
      <c r="BUH23" s="33" t="e">
        <f t="shared" ref="BUH23:BUS23" si="15">IF(BUH4=0,"",BUH4)</f>
        <v>#REF!</v>
      </c>
      <c r="BUI23" s="33" t="e">
        <f t="shared" si="15"/>
        <v>#REF!</v>
      </c>
      <c r="BUJ23" s="33">
        <f t="shared" si="15"/>
        <v>3040</v>
      </c>
      <c r="BUK23" s="33">
        <f t="shared" si="15"/>
        <v>2974</v>
      </c>
      <c r="BUL23" s="33">
        <f t="shared" si="15"/>
        <v>2979</v>
      </c>
      <c r="BUM23" s="33">
        <f t="shared" si="15"/>
        <v>2993</v>
      </c>
      <c r="BUN23" s="33">
        <f t="shared" si="15"/>
        <v>3020</v>
      </c>
      <c r="BUO23" s="33">
        <f t="shared" si="15"/>
        <v>3087</v>
      </c>
      <c r="BUP23" s="33">
        <f t="shared" si="15"/>
        <v>3264</v>
      </c>
      <c r="BUQ23" s="33">
        <f t="shared" si="15"/>
        <v>2939</v>
      </c>
      <c r="BUR23" s="33">
        <f t="shared" si="15"/>
        <v>2794</v>
      </c>
      <c r="BUS23" s="33">
        <f t="shared" si="15"/>
        <v>2668</v>
      </c>
    </row>
    <row r="24" spans="1901:1917">
      <c r="BUC24" s="23" t="s">
        <v>257</v>
      </c>
      <c r="BUD24" s="23" t="str">
        <f t="shared" ca="1" si="0"/>
        <v>#REF</v>
      </c>
      <c r="BUE24" s="23" t="e">
        <f ca="1" xml:space="preserve"> _xlfn.SHEET(#REF!)</f>
        <v>#REF!</v>
      </c>
      <c r="BUG24" s="23" t="e">
        <f>#REF!</f>
        <v>#REF!</v>
      </c>
      <c r="BUH24" s="34" t="s">
        <v>261</v>
      </c>
      <c r="BUI24" s="34" t="s">
        <v>261</v>
      </c>
      <c r="BUJ24" s="34" t="s">
        <v>261</v>
      </c>
      <c r="BUK24" s="34" t="s">
        <v>261</v>
      </c>
      <c r="BUL24" s="34" t="s">
        <v>261</v>
      </c>
      <c r="BUM24" s="34" t="s">
        <v>261</v>
      </c>
      <c r="BUN24" s="34" t="s">
        <v>261</v>
      </c>
      <c r="BUO24" s="34" t="s">
        <v>261</v>
      </c>
      <c r="BUP24" s="34" t="s">
        <v>261</v>
      </c>
      <c r="BUQ24" s="34" t="s">
        <v>261</v>
      </c>
      <c r="BUR24" s="34" t="s">
        <v>261</v>
      </c>
      <c r="BUS24" s="34" t="s">
        <v>261</v>
      </c>
    </row>
    <row r="25" spans="1901:1917">
      <c r="BUC25" s="23" t="s">
        <v>257</v>
      </c>
      <c r="BUD25" s="23" t="str">
        <f t="shared" ca="1" si="0"/>
        <v>#REF</v>
      </c>
      <c r="BUE25" s="23" t="e">
        <f ca="1" xml:space="preserve"> _xlfn.SHEET(#REF!)</f>
        <v>#REF!</v>
      </c>
      <c r="BUG25" s="23" t="e">
        <f>#REF!</f>
        <v>#REF!</v>
      </c>
      <c r="BUH25" s="35">
        <f>BUH8-0.23</f>
        <v>0.77</v>
      </c>
      <c r="BUI25" s="35">
        <f t="shared" ref="BUI25:BUS25" si="16">BUI8+0.22</f>
        <v>2.2200000000000002</v>
      </c>
      <c r="BUJ25" s="35">
        <f t="shared" si="16"/>
        <v>3.22</v>
      </c>
      <c r="BUK25" s="35">
        <f t="shared" si="16"/>
        <v>4.22</v>
      </c>
      <c r="BUL25" s="35">
        <f t="shared" si="16"/>
        <v>5.22</v>
      </c>
      <c r="BUM25" s="35">
        <f t="shared" si="16"/>
        <v>6.22</v>
      </c>
      <c r="BUN25" s="35">
        <f t="shared" si="16"/>
        <v>7.22</v>
      </c>
      <c r="BUO25" s="35">
        <f t="shared" si="16"/>
        <v>8.2200000000000006</v>
      </c>
      <c r="BUP25" s="35">
        <f t="shared" si="16"/>
        <v>9.2200000000000006</v>
      </c>
      <c r="BUQ25" s="35">
        <f t="shared" si="16"/>
        <v>10.220000000000001</v>
      </c>
      <c r="BUR25" s="35">
        <f t="shared" si="16"/>
        <v>11.22</v>
      </c>
      <c r="BUS25" s="35">
        <f t="shared" si="16"/>
        <v>12.22</v>
      </c>
    </row>
    <row r="26" spans="1901:1917">
      <c r="BUC26" s="23" t="s">
        <v>257</v>
      </c>
      <c r="BUD26" s="23" t="str">
        <f t="shared" ca="1" si="0"/>
        <v>#REF</v>
      </c>
      <c r="BUE26" s="23" t="e">
        <f ca="1" xml:space="preserve"> _xlfn.SHEET(#REF!)</f>
        <v>#REF!</v>
      </c>
      <c r="BUG26" s="23" t="e">
        <f>#REF!</f>
        <v>#REF!</v>
      </c>
      <c r="BUH26" s="35">
        <v>0</v>
      </c>
      <c r="BUI26" s="35">
        <v>0</v>
      </c>
      <c r="BUJ26" s="35">
        <v>0</v>
      </c>
      <c r="BUK26" s="35">
        <v>0</v>
      </c>
      <c r="BUL26" s="35">
        <v>0</v>
      </c>
      <c r="BUM26" s="35">
        <v>0</v>
      </c>
      <c r="BUN26" s="35">
        <v>0</v>
      </c>
      <c r="BUO26" s="35">
        <v>0</v>
      </c>
      <c r="BUP26" s="35">
        <v>0</v>
      </c>
      <c r="BUQ26" s="35">
        <v>0</v>
      </c>
      <c r="BUR26" s="35">
        <v>0</v>
      </c>
      <c r="BUS26" s="35">
        <v>0</v>
      </c>
    </row>
    <row r="27" spans="1901:1917">
      <c r="BUC27" s="23" t="s">
        <v>257</v>
      </c>
      <c r="BUD27" s="23" t="str">
        <f t="shared" ca="1" si="0"/>
        <v>#REF</v>
      </c>
      <c r="BUE27" s="23" t="e">
        <f ca="1" xml:space="preserve"> _xlfn.SHEET(#REF!)</f>
        <v>#REF!</v>
      </c>
      <c r="BUG27" s="23" t="e">
        <f>#REF!</f>
        <v>#REF!</v>
      </c>
      <c r="BUH27" s="36" t="s">
        <v>262</v>
      </c>
      <c r="BUI27" s="36" t="s">
        <v>262</v>
      </c>
      <c r="BUJ27" s="36" t="s">
        <v>262</v>
      </c>
      <c r="BUK27" s="36" t="s">
        <v>262</v>
      </c>
      <c r="BUL27" s="36" t="s">
        <v>262</v>
      </c>
      <c r="BUM27" s="36" t="s">
        <v>262</v>
      </c>
      <c r="BUN27" s="36" t="s">
        <v>262</v>
      </c>
      <c r="BUO27" s="36" t="s">
        <v>262</v>
      </c>
      <c r="BUP27" s="36" t="s">
        <v>262</v>
      </c>
      <c r="BUQ27" s="36" t="s">
        <v>262</v>
      </c>
      <c r="BUR27" s="36" t="s">
        <v>262</v>
      </c>
      <c r="BUS27" s="36" t="s">
        <v>262</v>
      </c>
    </row>
    <row r="28" spans="1901:1917">
      <c r="BUC28" s="23" t="s">
        <v>257</v>
      </c>
      <c r="BUD28" s="23" t="str">
        <f t="shared" ca="1" si="0"/>
        <v>#REF</v>
      </c>
      <c r="BUE28" s="23" t="e">
        <f ca="1" xml:space="preserve"> _xlfn.SHEET(#REF!)</f>
        <v>#REF!</v>
      </c>
      <c r="BUG28" s="23" t="e">
        <f>#REF!</f>
        <v>#REF!</v>
      </c>
      <c r="BUH28" s="36" t="str">
        <f>CONCATENATE(BUH27," ",BUH29)</f>
        <v>Var 1</v>
      </c>
      <c r="BUI28" s="36" t="str">
        <f t="shared" ref="BUI28:BUS28" si="17">CONCATENATE(BUI27," ",BUI29)</f>
        <v>Var 2</v>
      </c>
      <c r="BUJ28" s="36" t="str">
        <f t="shared" si="17"/>
        <v>Var 3</v>
      </c>
      <c r="BUK28" s="36" t="str">
        <f t="shared" si="17"/>
        <v>Var 4</v>
      </c>
      <c r="BUL28" s="36" t="str">
        <f t="shared" si="17"/>
        <v>Var 5</v>
      </c>
      <c r="BUM28" s="36" t="str">
        <f t="shared" si="17"/>
        <v>Var 6</v>
      </c>
      <c r="BUN28" s="36" t="str">
        <f t="shared" si="17"/>
        <v>Var 7</v>
      </c>
      <c r="BUO28" s="36" t="str">
        <f t="shared" si="17"/>
        <v>Var 8</v>
      </c>
      <c r="BUP28" s="36" t="str">
        <f t="shared" si="17"/>
        <v>Var 9</v>
      </c>
      <c r="BUQ28" s="36" t="str">
        <f t="shared" si="17"/>
        <v>Var 10</v>
      </c>
      <c r="BUR28" s="36" t="str">
        <f t="shared" si="17"/>
        <v>Var 11</v>
      </c>
      <c r="BUS28" s="36" t="str">
        <f t="shared" si="17"/>
        <v>Var 12</v>
      </c>
    </row>
    <row r="29" spans="1901:1917">
      <c r="BUC29" s="23" t="s">
        <v>257</v>
      </c>
      <c r="BUD29" s="23" t="str">
        <f t="shared" ca="1" si="0"/>
        <v>#REF</v>
      </c>
      <c r="BUE29" s="23" t="e">
        <f ca="1" xml:space="preserve"> _xlfn.SHEET(#REF!)</f>
        <v>#REF!</v>
      </c>
      <c r="BUG29" s="23" t="e">
        <f>#REF!</f>
        <v>#REF!</v>
      </c>
      <c r="BUH29" s="37">
        <f>BUH8</f>
        <v>1</v>
      </c>
      <c r="BUI29" s="37">
        <f t="shared" ref="BUI29:BUS29" si="18">BUI8</f>
        <v>2</v>
      </c>
      <c r="BUJ29" s="37">
        <f t="shared" si="18"/>
        <v>3</v>
      </c>
      <c r="BUK29" s="37">
        <f t="shared" si="18"/>
        <v>4</v>
      </c>
      <c r="BUL29" s="37">
        <f t="shared" si="18"/>
        <v>5</v>
      </c>
      <c r="BUM29" s="37">
        <f t="shared" si="18"/>
        <v>6</v>
      </c>
      <c r="BUN29" s="37">
        <f t="shared" si="18"/>
        <v>7</v>
      </c>
      <c r="BUO29" s="37">
        <f t="shared" si="18"/>
        <v>8</v>
      </c>
      <c r="BUP29" s="37">
        <f t="shared" si="18"/>
        <v>9</v>
      </c>
      <c r="BUQ29" s="37">
        <f t="shared" si="18"/>
        <v>10</v>
      </c>
      <c r="BUR29" s="37">
        <f t="shared" si="18"/>
        <v>11</v>
      </c>
      <c r="BUS29" s="37">
        <f t="shared" si="18"/>
        <v>12</v>
      </c>
    </row>
    <row r="30" spans="1901:1917">
      <c r="BUC30" s="23" t="s">
        <v>257</v>
      </c>
      <c r="BUD30" s="23" t="str">
        <f t="shared" ca="1" si="0"/>
        <v>#REF</v>
      </c>
      <c r="BUE30" s="23" t="e">
        <f ca="1" xml:space="preserve"> _xlfn.SHEET(#REF!)</f>
        <v>#REF!</v>
      </c>
      <c r="BUG30" s="23" t="e">
        <f>#REF!</f>
        <v>#REF!</v>
      </c>
      <c r="BUH30" s="38" t="e">
        <f t="shared" ref="BUH30:BUS30" si="19">MAX(BUH3:BUH4)</f>
        <v>#REF!</v>
      </c>
      <c r="BUI30" s="38" t="e">
        <f t="shared" si="19"/>
        <v>#REF!</v>
      </c>
      <c r="BUJ30" s="38">
        <f t="shared" si="19"/>
        <v>4300</v>
      </c>
      <c r="BUK30" s="38">
        <f t="shared" si="19"/>
        <v>5100</v>
      </c>
      <c r="BUL30" s="38">
        <f t="shared" si="19"/>
        <v>4800</v>
      </c>
      <c r="BUM30" s="38">
        <f t="shared" si="19"/>
        <v>5200</v>
      </c>
      <c r="BUN30" s="38">
        <f t="shared" si="19"/>
        <v>5100</v>
      </c>
      <c r="BUO30" s="38">
        <f t="shared" si="19"/>
        <v>4100</v>
      </c>
      <c r="BUP30" s="38">
        <f t="shared" si="19"/>
        <v>5200</v>
      </c>
      <c r="BUQ30" s="38">
        <f t="shared" si="19"/>
        <v>5184</v>
      </c>
      <c r="BUR30" s="38">
        <f t="shared" si="19"/>
        <v>4800</v>
      </c>
      <c r="BUS30" s="38">
        <f t="shared" si="19"/>
        <v>4625</v>
      </c>
    </row>
    <row r="31" spans="1901:1917">
      <c r="BUC31" s="23" t="s">
        <v>257</v>
      </c>
      <c r="BUD31" s="23" t="str">
        <f t="shared" ca="1" si="0"/>
        <v>#REF</v>
      </c>
      <c r="BUE31" s="23" t="e">
        <f ca="1" xml:space="preserve"> _xlfn.SHEET(#REF!)</f>
        <v>#REF!</v>
      </c>
      <c r="BUG31" s="23" t="e">
        <f>#REF!</f>
        <v>#REF!</v>
      </c>
      <c r="BUH31" s="39" t="e">
        <f t="shared" ref="BUH31:BUS31" si="20">IF(BUH4-BUH3=0,"",BUH4-BUH3)</f>
        <v>#REF!</v>
      </c>
      <c r="BUI31" s="39" t="e">
        <f t="shared" si="20"/>
        <v>#REF!</v>
      </c>
      <c r="BUJ31" s="39">
        <f t="shared" si="20"/>
        <v>-1260</v>
      </c>
      <c r="BUK31" s="39">
        <f t="shared" si="20"/>
        <v>-2126</v>
      </c>
      <c r="BUL31" s="39">
        <f t="shared" si="20"/>
        <v>-1821</v>
      </c>
      <c r="BUM31" s="39">
        <f t="shared" si="20"/>
        <v>-2207</v>
      </c>
      <c r="BUN31" s="39">
        <f t="shared" si="20"/>
        <v>-2080</v>
      </c>
      <c r="BUO31" s="39">
        <f t="shared" si="20"/>
        <v>-1013</v>
      </c>
      <c r="BUP31" s="39">
        <f t="shared" si="20"/>
        <v>-1936</v>
      </c>
      <c r="BUQ31" s="39">
        <f t="shared" si="20"/>
        <v>-2245</v>
      </c>
      <c r="BUR31" s="39">
        <f t="shared" si="20"/>
        <v>-2006</v>
      </c>
      <c r="BUS31" s="39">
        <f t="shared" si="20"/>
        <v>-1957</v>
      </c>
    </row>
    <row r="32" spans="1901:1917">
      <c r="BUC32" s="23" t="s">
        <v>263</v>
      </c>
      <c r="BUD32" s="23" t="str">
        <f ca="1">SUBSTITUTE(MID(_xlfn.FORMULATEXT(BUG32),2,FIND("!",_xlfn.FORMULATEXT(BUG32),1)-2), "'","")</f>
        <v>#REF</v>
      </c>
      <c r="BUE32" s="23" t="e">
        <f ca="1" xml:space="preserve"> _xlfn.SHEET(#REF!)</f>
        <v>#REF!</v>
      </c>
      <c r="BUG32" s="23" t="e">
        <f>#REF!</f>
        <v>#REF!</v>
      </c>
    </row>
    <row r="33" spans="1901:1917">
      <c r="BUC33" s="23" t="s">
        <v>263</v>
      </c>
      <c r="BUD33" s="23" t="str">
        <f t="shared" ref="BUD33:BUD61" ca="1" si="21">SUBSTITUTE(MID(_xlfn.FORMULATEXT(BUG33),2,FIND("!",_xlfn.FORMULATEXT(BUG33),1)-2), "'","")</f>
        <v>#REF</v>
      </c>
      <c r="BUE33" s="23" t="e">
        <f ca="1" xml:space="preserve"> _xlfn.SHEET(#REF!)</f>
        <v>#REF!</v>
      </c>
      <c r="BUG33" s="23" t="e">
        <f>#REF!</f>
        <v>#REF!</v>
      </c>
      <c r="BUH33" s="40" t="e">
        <f>Veriler!#REF!</f>
        <v>#REF!</v>
      </c>
      <c r="BUI33" s="40" t="e">
        <f>Veriler!#REF!</f>
        <v>#REF!</v>
      </c>
      <c r="BUJ33" s="40">
        <f>Veriler!G$7</f>
        <v>4300</v>
      </c>
      <c r="BUK33" s="40">
        <f>Veriler!H$7</f>
        <v>5100</v>
      </c>
      <c r="BUL33" s="40">
        <f>Veriler!I$7</f>
        <v>4800</v>
      </c>
      <c r="BUM33" s="40">
        <f>Veriler!J$7</f>
        <v>5200</v>
      </c>
      <c r="BUN33" s="40">
        <f>Veriler!K$7</f>
        <v>5100</v>
      </c>
      <c r="BUO33" s="40">
        <f>Veriler!L$7</f>
        <v>4100</v>
      </c>
      <c r="BUP33" s="40">
        <f>Veriler!M$7</f>
        <v>5200</v>
      </c>
      <c r="BUQ33" s="40">
        <f>Veriler!N$7</f>
        <v>5184</v>
      </c>
      <c r="BUR33" s="40">
        <f>Veriler!O$7</f>
        <v>4800</v>
      </c>
      <c r="BUS33" s="40">
        <f>Veriler!P$7</f>
        <v>4625</v>
      </c>
    </row>
    <row r="34" spans="1901:1917">
      <c r="BUC34" s="23" t="s">
        <v>263</v>
      </c>
      <c r="BUD34" s="23" t="str">
        <f t="shared" ca="1" si="21"/>
        <v>#REF</v>
      </c>
      <c r="BUE34" s="23" t="e">
        <f ca="1" xml:space="preserve"> _xlfn.SHEET(#REF!)</f>
        <v>#REF!</v>
      </c>
      <c r="BUG34" s="23" t="e">
        <f>#REF!</f>
        <v>#REF!</v>
      </c>
      <c r="BUH34" s="40" t="e">
        <f>Veriler!#REF!</f>
        <v>#REF!</v>
      </c>
      <c r="BUI34" s="40" t="e">
        <f>Veriler!#REF!</f>
        <v>#REF!</v>
      </c>
      <c r="BUJ34" s="40">
        <f>Veriler!G$15</f>
        <v>3040</v>
      </c>
      <c r="BUK34" s="40">
        <f>Veriler!H$15</f>
        <v>2974</v>
      </c>
      <c r="BUL34" s="40">
        <f>Veriler!I$15</f>
        <v>2979</v>
      </c>
      <c r="BUM34" s="40">
        <f>Veriler!J$15</f>
        <v>2993</v>
      </c>
      <c r="BUN34" s="40">
        <f>Veriler!K$15</f>
        <v>3020</v>
      </c>
      <c r="BUO34" s="40">
        <f>Veriler!L$15</f>
        <v>3087</v>
      </c>
      <c r="BUP34" s="40">
        <f>Veriler!M$15</f>
        <v>3264</v>
      </c>
      <c r="BUQ34" s="40">
        <f>Veriler!N$15</f>
        <v>2939</v>
      </c>
      <c r="BUR34" s="40">
        <f>Veriler!O$15</f>
        <v>2794</v>
      </c>
      <c r="BUS34" s="40">
        <f>Veriler!P$15</f>
        <v>2668</v>
      </c>
    </row>
    <row r="35" spans="1901:1917">
      <c r="BUC35" s="23" t="s">
        <v>263</v>
      </c>
      <c r="BUD35" s="23" t="str">
        <f t="shared" ca="1" si="21"/>
        <v>#REF</v>
      </c>
      <c r="BUE35" s="23" t="e">
        <f ca="1" xml:space="preserve"> _xlfn.SHEET(#REF!)</f>
        <v>#REF!</v>
      </c>
      <c r="BUG35" s="23" t="e">
        <f>#REF!</f>
        <v>#REF!</v>
      </c>
      <c r="BUH35" s="27" t="s">
        <v>258</v>
      </c>
    </row>
    <row r="36" spans="1901:1917">
      <c r="BUC36" s="23" t="s">
        <v>263</v>
      </c>
      <c r="BUD36" s="23" t="str">
        <f t="shared" ca="1" si="21"/>
        <v>#REF</v>
      </c>
      <c r="BUE36" s="23" t="e">
        <f ca="1" xml:space="preserve"> _xlfn.SHEET(#REF!)</f>
        <v>#REF!</v>
      </c>
      <c r="BUG36" s="23" t="e">
        <f>#REF!</f>
        <v>#REF!</v>
      </c>
      <c r="BUH36" s="28" t="s">
        <v>76</v>
      </c>
      <c r="BUI36" s="28" t="s">
        <v>76</v>
      </c>
      <c r="BUJ36" s="28" t="s">
        <v>76</v>
      </c>
      <c r="BUK36" s="28" t="s">
        <v>76</v>
      </c>
      <c r="BUL36" s="28" t="s">
        <v>76</v>
      </c>
      <c r="BUM36" s="28" t="s">
        <v>76</v>
      </c>
      <c r="BUN36" s="28" t="s">
        <v>76</v>
      </c>
      <c r="BUO36" s="28" t="s">
        <v>76</v>
      </c>
      <c r="BUP36" s="28" t="s">
        <v>76</v>
      </c>
      <c r="BUQ36" s="28" t="s">
        <v>76</v>
      </c>
      <c r="BUR36" s="28" t="s">
        <v>76</v>
      </c>
      <c r="BUS36" s="28" t="s">
        <v>76</v>
      </c>
    </row>
    <row r="37" spans="1901:1917">
      <c r="BUC37" s="23" t="s">
        <v>263</v>
      </c>
      <c r="BUD37" s="23" t="str">
        <f t="shared" ca="1" si="21"/>
        <v>#REF</v>
      </c>
      <c r="BUE37" s="23" t="e">
        <f ca="1" xml:space="preserve"> _xlfn.SHEET(#REF!)</f>
        <v>#REF!</v>
      </c>
      <c r="BUG37" s="23" t="e">
        <f>#REF!</f>
        <v>#REF!</v>
      </c>
      <c r="BUH37" s="28" t="str">
        <f>CONCATENATE(BUH36," ",BUH38)</f>
        <v>Green 1</v>
      </c>
      <c r="BUI37" s="28" t="str">
        <f t="shared" ref="BUI37:BUS37" si="22">CONCATENATE(BUI36," ",BUI38)</f>
        <v>Green 2</v>
      </c>
      <c r="BUJ37" s="28" t="str">
        <f t="shared" si="22"/>
        <v>Green 3</v>
      </c>
      <c r="BUK37" s="28" t="str">
        <f t="shared" si="22"/>
        <v>Green 4</v>
      </c>
      <c r="BUL37" s="28" t="str">
        <f t="shared" si="22"/>
        <v>Green 5</v>
      </c>
      <c r="BUM37" s="28" t="str">
        <f t="shared" si="22"/>
        <v>Green 6</v>
      </c>
      <c r="BUN37" s="28" t="str">
        <f t="shared" si="22"/>
        <v>Green 7</v>
      </c>
      <c r="BUO37" s="28" t="str">
        <f t="shared" si="22"/>
        <v>Green 8</v>
      </c>
      <c r="BUP37" s="28" t="str">
        <f t="shared" si="22"/>
        <v>Green 9</v>
      </c>
      <c r="BUQ37" s="28" t="str">
        <f t="shared" si="22"/>
        <v>Green 10</v>
      </c>
      <c r="BUR37" s="28" t="str">
        <f t="shared" si="22"/>
        <v>Green 11</v>
      </c>
      <c r="BUS37" s="28" t="str">
        <f t="shared" si="22"/>
        <v>Green 12</v>
      </c>
    </row>
    <row r="38" spans="1901:1917">
      <c r="BUC38" s="23" t="s">
        <v>263</v>
      </c>
      <c r="BUD38" s="23" t="str">
        <f t="shared" ca="1" si="21"/>
        <v>#REF</v>
      </c>
      <c r="BUE38" s="23" t="e">
        <f ca="1" xml:space="preserve"> _xlfn.SHEET(#REF!)</f>
        <v>#REF!</v>
      </c>
      <c r="BUG38" s="23" t="e">
        <f>#REF!</f>
        <v>#REF!</v>
      </c>
      <c r="BUH38" s="29">
        <v>1</v>
      </c>
      <c r="BUI38" s="29">
        <f t="shared" ref="BUI38:BUS38" si="23">BUH38+1</f>
        <v>2</v>
      </c>
      <c r="BUJ38" s="29">
        <f t="shared" si="23"/>
        <v>3</v>
      </c>
      <c r="BUK38" s="29">
        <f t="shared" si="23"/>
        <v>4</v>
      </c>
      <c r="BUL38" s="29">
        <f t="shared" si="23"/>
        <v>5</v>
      </c>
      <c r="BUM38" s="29">
        <f t="shared" si="23"/>
        <v>6</v>
      </c>
      <c r="BUN38" s="29">
        <f t="shared" si="23"/>
        <v>7</v>
      </c>
      <c r="BUO38" s="29">
        <f t="shared" si="23"/>
        <v>8</v>
      </c>
      <c r="BUP38" s="29">
        <f t="shared" si="23"/>
        <v>9</v>
      </c>
      <c r="BUQ38" s="29">
        <f t="shared" si="23"/>
        <v>10</v>
      </c>
      <c r="BUR38" s="29">
        <f t="shared" si="23"/>
        <v>11</v>
      </c>
      <c r="BUS38" s="29">
        <f t="shared" si="23"/>
        <v>12</v>
      </c>
    </row>
    <row r="39" spans="1901:1917">
      <c r="BUC39" s="23" t="s">
        <v>263</v>
      </c>
      <c r="BUD39" s="23" t="str">
        <f t="shared" ca="1" si="21"/>
        <v>#REF</v>
      </c>
      <c r="BUE39" s="23" t="e">
        <f ca="1" xml:space="preserve"> _xlfn.SHEET(#REF!)</f>
        <v>#REF!</v>
      </c>
      <c r="BUG39" s="23" t="e">
        <f>#REF!</f>
        <v>#REF!</v>
      </c>
      <c r="BUH39" s="29">
        <f>BUH38</f>
        <v>1</v>
      </c>
      <c r="BUI39" s="29">
        <f t="shared" ref="BUI39:BUS39" si="24">BUI38</f>
        <v>2</v>
      </c>
      <c r="BUJ39" s="29">
        <f t="shared" si="24"/>
        <v>3</v>
      </c>
      <c r="BUK39" s="29">
        <f t="shared" si="24"/>
        <v>4</v>
      </c>
      <c r="BUL39" s="29">
        <f t="shared" si="24"/>
        <v>5</v>
      </c>
      <c r="BUM39" s="29">
        <f t="shared" si="24"/>
        <v>6</v>
      </c>
      <c r="BUN39" s="29">
        <f t="shared" si="24"/>
        <v>7</v>
      </c>
      <c r="BUO39" s="29">
        <f t="shared" si="24"/>
        <v>8</v>
      </c>
      <c r="BUP39" s="29">
        <f t="shared" si="24"/>
        <v>9</v>
      </c>
      <c r="BUQ39" s="29">
        <f t="shared" si="24"/>
        <v>10</v>
      </c>
      <c r="BUR39" s="29">
        <f t="shared" si="24"/>
        <v>11</v>
      </c>
      <c r="BUS39" s="29">
        <f t="shared" si="24"/>
        <v>12</v>
      </c>
    </row>
    <row r="40" spans="1901:1917">
      <c r="BUC40" s="23" t="s">
        <v>263</v>
      </c>
      <c r="BUD40" s="23" t="str">
        <f t="shared" ca="1" si="21"/>
        <v>#REF</v>
      </c>
      <c r="BUE40" s="23" t="e">
        <f ca="1" xml:space="preserve"> _xlfn.SHEET(#REF!)</f>
        <v>#REF!</v>
      </c>
      <c r="BUG40" s="23" t="e">
        <f>#REF!</f>
        <v>#REF!</v>
      </c>
      <c r="BUH40" s="29" t="e">
        <f t="shared" ref="BUH40:BUS40" si="25">IF(BUH34&gt;BUH33,BUH33,0)</f>
        <v>#REF!</v>
      </c>
      <c r="BUI40" s="29" t="e">
        <f t="shared" si="25"/>
        <v>#REF!</v>
      </c>
      <c r="BUJ40" s="29">
        <f t="shared" si="25"/>
        <v>0</v>
      </c>
      <c r="BUK40" s="29">
        <f t="shared" si="25"/>
        <v>0</v>
      </c>
      <c r="BUL40" s="29">
        <f t="shared" si="25"/>
        <v>0</v>
      </c>
      <c r="BUM40" s="29">
        <f t="shared" si="25"/>
        <v>0</v>
      </c>
      <c r="BUN40" s="29">
        <f t="shared" si="25"/>
        <v>0</v>
      </c>
      <c r="BUO40" s="29">
        <f t="shared" si="25"/>
        <v>0</v>
      </c>
      <c r="BUP40" s="29">
        <f t="shared" si="25"/>
        <v>0</v>
      </c>
      <c r="BUQ40" s="29">
        <f t="shared" si="25"/>
        <v>0</v>
      </c>
      <c r="BUR40" s="29">
        <f t="shared" si="25"/>
        <v>0</v>
      </c>
      <c r="BUS40" s="29">
        <f t="shared" si="25"/>
        <v>0</v>
      </c>
    </row>
    <row r="41" spans="1901:1917">
      <c r="BUC41" s="23" t="s">
        <v>263</v>
      </c>
      <c r="BUD41" s="23" t="str">
        <f t="shared" ca="1" si="21"/>
        <v>#REF</v>
      </c>
      <c r="BUE41" s="23" t="e">
        <f ca="1" xml:space="preserve"> _xlfn.SHEET(#REF!)</f>
        <v>#REF!</v>
      </c>
      <c r="BUG41" s="23" t="e">
        <f>#REF!</f>
        <v>#REF!</v>
      </c>
      <c r="BUH41" s="29" t="e">
        <f t="shared" ref="BUH41:BUS41" si="26">IF(BUH34&gt;BUH33,BUH34,0)</f>
        <v>#REF!</v>
      </c>
      <c r="BUI41" s="29" t="e">
        <f t="shared" si="26"/>
        <v>#REF!</v>
      </c>
      <c r="BUJ41" s="29">
        <f t="shared" si="26"/>
        <v>0</v>
      </c>
      <c r="BUK41" s="29">
        <f t="shared" si="26"/>
        <v>0</v>
      </c>
      <c r="BUL41" s="29">
        <f t="shared" si="26"/>
        <v>0</v>
      </c>
      <c r="BUM41" s="29">
        <f t="shared" si="26"/>
        <v>0</v>
      </c>
      <c r="BUN41" s="29">
        <f t="shared" si="26"/>
        <v>0</v>
      </c>
      <c r="BUO41" s="29">
        <f t="shared" si="26"/>
        <v>0</v>
      </c>
      <c r="BUP41" s="29">
        <f t="shared" si="26"/>
        <v>0</v>
      </c>
      <c r="BUQ41" s="29">
        <f t="shared" si="26"/>
        <v>0</v>
      </c>
      <c r="BUR41" s="29">
        <f t="shared" si="26"/>
        <v>0</v>
      </c>
      <c r="BUS41" s="29">
        <f t="shared" si="26"/>
        <v>0</v>
      </c>
    </row>
    <row r="42" spans="1901:1917">
      <c r="BUC42" s="23" t="s">
        <v>263</v>
      </c>
      <c r="BUD42" s="23" t="str">
        <f t="shared" ca="1" si="21"/>
        <v>#REF</v>
      </c>
      <c r="BUE42" s="23" t="e">
        <f ca="1" xml:space="preserve"> _xlfn.SHEET(#REF!)</f>
        <v>#REF!</v>
      </c>
      <c r="BUG42" s="23" t="e">
        <f>#REF!</f>
        <v>#REF!</v>
      </c>
      <c r="BUH42" s="30" t="s">
        <v>259</v>
      </c>
      <c r="BUI42" s="30" t="s">
        <v>259</v>
      </c>
      <c r="BUJ42" s="30" t="s">
        <v>259</v>
      </c>
      <c r="BUK42" s="30" t="s">
        <v>259</v>
      </c>
      <c r="BUL42" s="30" t="s">
        <v>259</v>
      </c>
      <c r="BUM42" s="30" t="s">
        <v>259</v>
      </c>
      <c r="BUN42" s="30" t="s">
        <v>259</v>
      </c>
      <c r="BUO42" s="30" t="s">
        <v>259</v>
      </c>
      <c r="BUP42" s="30" t="s">
        <v>259</v>
      </c>
      <c r="BUQ42" s="30" t="s">
        <v>259</v>
      </c>
      <c r="BUR42" s="30" t="s">
        <v>259</v>
      </c>
      <c r="BUS42" s="30" t="s">
        <v>259</v>
      </c>
    </row>
    <row r="43" spans="1901:1917">
      <c r="BUC43" s="23" t="s">
        <v>263</v>
      </c>
      <c r="BUD43" s="23" t="str">
        <f t="shared" ca="1" si="21"/>
        <v>#REF</v>
      </c>
      <c r="BUE43" s="23" t="e">
        <f ca="1" xml:space="preserve"> _xlfn.SHEET(#REF!)</f>
        <v>#REF!</v>
      </c>
      <c r="BUG43" s="23" t="e">
        <f>#REF!</f>
        <v>#REF!</v>
      </c>
      <c r="BUH43" s="30" t="str">
        <f>CONCATENATE(BUH42," ",BUH44)</f>
        <v>Red 1</v>
      </c>
      <c r="BUI43" s="30" t="str">
        <f t="shared" ref="BUI43:BUS43" si="27">CONCATENATE(BUI42," ",BUI44)</f>
        <v>Red 2</v>
      </c>
      <c r="BUJ43" s="30" t="str">
        <f t="shared" si="27"/>
        <v>Red 3</v>
      </c>
      <c r="BUK43" s="30" t="str">
        <f t="shared" si="27"/>
        <v>Red 4</v>
      </c>
      <c r="BUL43" s="30" t="str">
        <f t="shared" si="27"/>
        <v>Red 5</v>
      </c>
      <c r="BUM43" s="30" t="str">
        <f t="shared" si="27"/>
        <v>Red 6</v>
      </c>
      <c r="BUN43" s="30" t="str">
        <f t="shared" si="27"/>
        <v>Red 7</v>
      </c>
      <c r="BUO43" s="30" t="str">
        <f t="shared" si="27"/>
        <v>Red 8</v>
      </c>
      <c r="BUP43" s="30" t="str">
        <f t="shared" si="27"/>
        <v>Red 9</v>
      </c>
      <c r="BUQ43" s="30" t="str">
        <f t="shared" si="27"/>
        <v>Red 10</v>
      </c>
      <c r="BUR43" s="30" t="str">
        <f t="shared" si="27"/>
        <v>Red 11</v>
      </c>
      <c r="BUS43" s="30" t="str">
        <f t="shared" si="27"/>
        <v>Red 12</v>
      </c>
    </row>
    <row r="44" spans="1901:1917">
      <c r="BUC44" s="23" t="s">
        <v>263</v>
      </c>
      <c r="BUD44" s="23" t="str">
        <f t="shared" ca="1" si="21"/>
        <v>#REF</v>
      </c>
      <c r="BUE44" s="23" t="e">
        <f ca="1" xml:space="preserve"> _xlfn.SHEET(#REF!)</f>
        <v>#REF!</v>
      </c>
      <c r="BUG44" s="23" t="e">
        <f>#REF!</f>
        <v>#REF!</v>
      </c>
      <c r="BUH44" s="31">
        <f>BUH38</f>
        <v>1</v>
      </c>
      <c r="BUI44" s="31">
        <f t="shared" ref="BUI44:BUS44" si="28">BUI38</f>
        <v>2</v>
      </c>
      <c r="BUJ44" s="31">
        <f t="shared" si="28"/>
        <v>3</v>
      </c>
      <c r="BUK44" s="31">
        <f t="shared" si="28"/>
        <v>4</v>
      </c>
      <c r="BUL44" s="31">
        <f t="shared" si="28"/>
        <v>5</v>
      </c>
      <c r="BUM44" s="31">
        <f t="shared" si="28"/>
        <v>6</v>
      </c>
      <c r="BUN44" s="31">
        <f t="shared" si="28"/>
        <v>7</v>
      </c>
      <c r="BUO44" s="31">
        <f t="shared" si="28"/>
        <v>8</v>
      </c>
      <c r="BUP44" s="31">
        <f t="shared" si="28"/>
        <v>9</v>
      </c>
      <c r="BUQ44" s="31">
        <f t="shared" si="28"/>
        <v>10</v>
      </c>
      <c r="BUR44" s="31">
        <f t="shared" si="28"/>
        <v>11</v>
      </c>
      <c r="BUS44" s="31">
        <f t="shared" si="28"/>
        <v>12</v>
      </c>
    </row>
    <row r="45" spans="1901:1917">
      <c r="BUC45" s="23" t="s">
        <v>263</v>
      </c>
      <c r="BUD45" s="23" t="str">
        <f t="shared" ca="1" si="21"/>
        <v>#REF</v>
      </c>
      <c r="BUE45" s="23" t="e">
        <f ca="1" xml:space="preserve"> _xlfn.SHEET(#REF!)</f>
        <v>#REF!</v>
      </c>
      <c r="BUG45" s="23" t="e">
        <f>#REF!</f>
        <v>#REF!</v>
      </c>
      <c r="BUH45" s="31">
        <f>BUH38</f>
        <v>1</v>
      </c>
      <c r="BUI45" s="31">
        <f t="shared" ref="BUI45:BUS45" si="29">BUI38</f>
        <v>2</v>
      </c>
      <c r="BUJ45" s="31">
        <f t="shared" si="29"/>
        <v>3</v>
      </c>
      <c r="BUK45" s="31">
        <f t="shared" si="29"/>
        <v>4</v>
      </c>
      <c r="BUL45" s="31">
        <f t="shared" si="29"/>
        <v>5</v>
      </c>
      <c r="BUM45" s="31">
        <f t="shared" si="29"/>
        <v>6</v>
      </c>
      <c r="BUN45" s="31">
        <f t="shared" si="29"/>
        <v>7</v>
      </c>
      <c r="BUO45" s="31">
        <f t="shared" si="29"/>
        <v>8</v>
      </c>
      <c r="BUP45" s="31">
        <f t="shared" si="29"/>
        <v>9</v>
      </c>
      <c r="BUQ45" s="31">
        <f t="shared" si="29"/>
        <v>10</v>
      </c>
      <c r="BUR45" s="31">
        <f t="shared" si="29"/>
        <v>11</v>
      </c>
      <c r="BUS45" s="31">
        <f t="shared" si="29"/>
        <v>12</v>
      </c>
    </row>
    <row r="46" spans="1901:1917">
      <c r="BUC46" s="23" t="s">
        <v>263</v>
      </c>
      <c r="BUD46" s="23" t="str">
        <f t="shared" ca="1" si="21"/>
        <v>#REF</v>
      </c>
      <c r="BUE46" s="23" t="e">
        <f ca="1" xml:space="preserve"> _xlfn.SHEET(#REF!)</f>
        <v>#REF!</v>
      </c>
      <c r="BUG46" s="23" t="e">
        <f>#REF!</f>
        <v>#REF!</v>
      </c>
      <c r="BUH46" s="31" t="e">
        <f t="shared" ref="BUH46:BUS46" si="30">IF(BUH33&gt;BUH34,BUH33,0)</f>
        <v>#REF!</v>
      </c>
      <c r="BUI46" s="31" t="e">
        <f t="shared" si="30"/>
        <v>#REF!</v>
      </c>
      <c r="BUJ46" s="31">
        <f t="shared" si="30"/>
        <v>4300</v>
      </c>
      <c r="BUK46" s="31">
        <f t="shared" si="30"/>
        <v>5100</v>
      </c>
      <c r="BUL46" s="31">
        <f t="shared" si="30"/>
        <v>4800</v>
      </c>
      <c r="BUM46" s="31">
        <f t="shared" si="30"/>
        <v>5200</v>
      </c>
      <c r="BUN46" s="31">
        <f t="shared" si="30"/>
        <v>5100</v>
      </c>
      <c r="BUO46" s="31">
        <f t="shared" si="30"/>
        <v>4100</v>
      </c>
      <c r="BUP46" s="31">
        <f t="shared" si="30"/>
        <v>5200</v>
      </c>
      <c r="BUQ46" s="31">
        <f t="shared" si="30"/>
        <v>5184</v>
      </c>
      <c r="BUR46" s="31">
        <f t="shared" si="30"/>
        <v>4800</v>
      </c>
      <c r="BUS46" s="31">
        <f t="shared" si="30"/>
        <v>4625</v>
      </c>
    </row>
    <row r="47" spans="1901:1917">
      <c r="BUC47" s="23" t="s">
        <v>263</v>
      </c>
      <c r="BUD47" s="23" t="str">
        <f t="shared" ca="1" si="21"/>
        <v>#REF</v>
      </c>
      <c r="BUE47" s="23" t="e">
        <f ca="1" xml:space="preserve"> _xlfn.SHEET(#REF!)</f>
        <v>#REF!</v>
      </c>
      <c r="BUG47" s="23" t="e">
        <f>#REF!</f>
        <v>#REF!</v>
      </c>
      <c r="BUH47" s="31" t="e">
        <f t="shared" ref="BUH47:BUS47" si="31">IF(BUH33&gt;BUH34,BUH34,0)</f>
        <v>#REF!</v>
      </c>
      <c r="BUI47" s="31" t="e">
        <f t="shared" si="31"/>
        <v>#REF!</v>
      </c>
      <c r="BUJ47" s="31">
        <f t="shared" si="31"/>
        <v>3040</v>
      </c>
      <c r="BUK47" s="31">
        <f t="shared" si="31"/>
        <v>2974</v>
      </c>
      <c r="BUL47" s="31">
        <f t="shared" si="31"/>
        <v>2979</v>
      </c>
      <c r="BUM47" s="31">
        <f t="shared" si="31"/>
        <v>2993</v>
      </c>
      <c r="BUN47" s="31">
        <f t="shared" si="31"/>
        <v>3020</v>
      </c>
      <c r="BUO47" s="31">
        <f t="shared" si="31"/>
        <v>3087</v>
      </c>
      <c r="BUP47" s="31">
        <f t="shared" si="31"/>
        <v>3264</v>
      </c>
      <c r="BUQ47" s="31">
        <f t="shared" si="31"/>
        <v>2939</v>
      </c>
      <c r="BUR47" s="31">
        <f t="shared" si="31"/>
        <v>2794</v>
      </c>
      <c r="BUS47" s="31">
        <f t="shared" si="31"/>
        <v>2668</v>
      </c>
    </row>
    <row r="48" spans="1901:1917">
      <c r="BUC48" s="23" t="s">
        <v>263</v>
      </c>
      <c r="BUD48" s="23" t="str">
        <f t="shared" ca="1" si="21"/>
        <v>#REF</v>
      </c>
      <c r="BUE48" s="23" t="e">
        <f ca="1" xml:space="preserve"> _xlfn.SHEET(#REF!)</f>
        <v>#REF!</v>
      </c>
      <c r="BUG48" s="23" t="e">
        <f>#REF!</f>
        <v>#REF!</v>
      </c>
      <c r="BUH48" s="32" t="s">
        <v>260</v>
      </c>
      <c r="BUI48" s="32" t="s">
        <v>260</v>
      </c>
      <c r="BUJ48" s="32" t="s">
        <v>260</v>
      </c>
      <c r="BUK48" s="32" t="s">
        <v>260</v>
      </c>
      <c r="BUL48" s="32" t="s">
        <v>260</v>
      </c>
      <c r="BUM48" s="32" t="s">
        <v>260</v>
      </c>
      <c r="BUN48" s="32" t="s">
        <v>260</v>
      </c>
      <c r="BUO48" s="32" t="s">
        <v>260</v>
      </c>
      <c r="BUP48" s="32" t="s">
        <v>260</v>
      </c>
      <c r="BUQ48" s="32" t="s">
        <v>260</v>
      </c>
      <c r="BUR48" s="32" t="s">
        <v>260</v>
      </c>
      <c r="BUS48" s="32" t="s">
        <v>260</v>
      </c>
    </row>
    <row r="49" spans="1901:1917">
      <c r="BUC49" s="23" t="s">
        <v>263</v>
      </c>
      <c r="BUD49" s="23" t="str">
        <f t="shared" ca="1" si="21"/>
        <v>#REF</v>
      </c>
      <c r="BUE49" s="23" t="e">
        <f ca="1" xml:space="preserve"> _xlfn.SHEET(#REF!)</f>
        <v>#REF!</v>
      </c>
      <c r="BUG49" s="23" t="e">
        <f>#REF!</f>
        <v>#REF!</v>
      </c>
      <c r="BUH49" s="32" t="str">
        <f>CONCATENATE(BUH48," ",BUH38)</f>
        <v>Actual 1</v>
      </c>
      <c r="BUI49" s="32" t="str">
        <f t="shared" ref="BUI49:BUS49" si="32">CONCATENATE(BUI48," ",BUI38)</f>
        <v>Actual 2</v>
      </c>
      <c r="BUJ49" s="32" t="str">
        <f t="shared" si="32"/>
        <v>Actual 3</v>
      </c>
      <c r="BUK49" s="32" t="str">
        <f t="shared" si="32"/>
        <v>Actual 4</v>
      </c>
      <c r="BUL49" s="32" t="str">
        <f t="shared" si="32"/>
        <v>Actual 5</v>
      </c>
      <c r="BUM49" s="32" t="str">
        <f t="shared" si="32"/>
        <v>Actual 6</v>
      </c>
      <c r="BUN49" s="32" t="str">
        <f t="shared" si="32"/>
        <v>Actual 7</v>
      </c>
      <c r="BUO49" s="32" t="str">
        <f t="shared" si="32"/>
        <v>Actual 8</v>
      </c>
      <c r="BUP49" s="32" t="str">
        <f t="shared" si="32"/>
        <v>Actual 9</v>
      </c>
      <c r="BUQ49" s="32" t="str">
        <f t="shared" si="32"/>
        <v>Actual 10</v>
      </c>
      <c r="BUR49" s="32" t="str">
        <f t="shared" si="32"/>
        <v>Actual 11</v>
      </c>
      <c r="BUS49" s="32" t="str">
        <f t="shared" si="32"/>
        <v>Actual 12</v>
      </c>
    </row>
    <row r="50" spans="1901:1917">
      <c r="BUC50" s="23" t="s">
        <v>263</v>
      </c>
      <c r="BUD50" s="23" t="str">
        <f t="shared" ca="1" si="21"/>
        <v>#REF</v>
      </c>
      <c r="BUE50" s="23" t="e">
        <f ca="1" xml:space="preserve"> _xlfn.SHEET(#REF!)</f>
        <v>#REF!</v>
      </c>
      <c r="BUG50" s="23" t="e">
        <f>#REF!</f>
        <v>#REF!</v>
      </c>
      <c r="BUH50" s="33">
        <f>BUH38-0.25</f>
        <v>0.75</v>
      </c>
      <c r="BUI50" s="33">
        <f t="shared" ref="BUI50:BUS50" si="33">BUI38-0.25</f>
        <v>1.75</v>
      </c>
      <c r="BUJ50" s="33">
        <f t="shared" si="33"/>
        <v>2.75</v>
      </c>
      <c r="BUK50" s="33">
        <f t="shared" si="33"/>
        <v>3.75</v>
      </c>
      <c r="BUL50" s="33">
        <f t="shared" si="33"/>
        <v>4.75</v>
      </c>
      <c r="BUM50" s="33">
        <f t="shared" si="33"/>
        <v>5.75</v>
      </c>
      <c r="BUN50" s="33">
        <f t="shared" si="33"/>
        <v>6.75</v>
      </c>
      <c r="BUO50" s="33">
        <f t="shared" si="33"/>
        <v>7.75</v>
      </c>
      <c r="BUP50" s="33">
        <f t="shared" si="33"/>
        <v>8.75</v>
      </c>
      <c r="BUQ50" s="33">
        <f t="shared" si="33"/>
        <v>9.75</v>
      </c>
      <c r="BUR50" s="33">
        <f t="shared" si="33"/>
        <v>10.75</v>
      </c>
      <c r="BUS50" s="33">
        <f t="shared" si="33"/>
        <v>11.75</v>
      </c>
    </row>
    <row r="51" spans="1901:1917">
      <c r="BUC51" s="23" t="s">
        <v>263</v>
      </c>
      <c r="BUD51" s="23" t="str">
        <f t="shared" ca="1" si="21"/>
        <v>#REF</v>
      </c>
      <c r="BUE51" s="23" t="e">
        <f ca="1" xml:space="preserve"> _xlfn.SHEET(#REF!)</f>
        <v>#REF!</v>
      </c>
      <c r="BUG51" s="23" t="e">
        <f>#REF!</f>
        <v>#REF!</v>
      </c>
      <c r="BUH51" s="33">
        <f>BUH38-0.25</f>
        <v>0.75</v>
      </c>
      <c r="BUI51" s="33">
        <f t="shared" ref="BUI51:BUS51" si="34">BUI38-0.25</f>
        <v>1.75</v>
      </c>
      <c r="BUJ51" s="33">
        <f t="shared" si="34"/>
        <v>2.75</v>
      </c>
      <c r="BUK51" s="33">
        <f t="shared" si="34"/>
        <v>3.75</v>
      </c>
      <c r="BUL51" s="33">
        <f t="shared" si="34"/>
        <v>4.75</v>
      </c>
      <c r="BUM51" s="33">
        <f t="shared" si="34"/>
        <v>5.75</v>
      </c>
      <c r="BUN51" s="33">
        <f t="shared" si="34"/>
        <v>6.75</v>
      </c>
      <c r="BUO51" s="33">
        <f t="shared" si="34"/>
        <v>7.75</v>
      </c>
      <c r="BUP51" s="33">
        <f t="shared" si="34"/>
        <v>8.75</v>
      </c>
      <c r="BUQ51" s="33">
        <f t="shared" si="34"/>
        <v>9.75</v>
      </c>
      <c r="BUR51" s="33">
        <f t="shared" si="34"/>
        <v>10.75</v>
      </c>
      <c r="BUS51" s="33">
        <f t="shared" si="34"/>
        <v>11.75</v>
      </c>
    </row>
    <row r="52" spans="1901:1917">
      <c r="BUC52" s="23" t="s">
        <v>263</v>
      </c>
      <c r="BUD52" s="23" t="str">
        <f t="shared" ca="1" si="21"/>
        <v>#REF</v>
      </c>
      <c r="BUE52" s="23" t="e">
        <f ca="1" xml:space="preserve"> _xlfn.SHEET(#REF!)</f>
        <v>#REF!</v>
      </c>
      <c r="BUG52" s="23" t="e">
        <f>#REF!</f>
        <v>#REF!</v>
      </c>
      <c r="BUH52" s="33">
        <v>0</v>
      </c>
      <c r="BUI52" s="33">
        <v>0</v>
      </c>
      <c r="BUJ52" s="33">
        <v>0</v>
      </c>
      <c r="BUK52" s="33">
        <v>0</v>
      </c>
      <c r="BUL52" s="33">
        <v>0</v>
      </c>
      <c r="BUM52" s="33">
        <v>0</v>
      </c>
      <c r="BUN52" s="33">
        <v>0</v>
      </c>
      <c r="BUO52" s="33">
        <v>0</v>
      </c>
      <c r="BUP52" s="33">
        <v>0</v>
      </c>
      <c r="BUQ52" s="33">
        <v>0</v>
      </c>
      <c r="BUR52" s="33">
        <v>0</v>
      </c>
      <c r="BUS52" s="33">
        <v>0</v>
      </c>
    </row>
    <row r="53" spans="1901:1917">
      <c r="BUC53" s="23" t="s">
        <v>263</v>
      </c>
      <c r="BUD53" s="23" t="str">
        <f t="shared" ca="1" si="21"/>
        <v>#REF</v>
      </c>
      <c r="BUE53" s="23" t="e">
        <f ca="1" xml:space="preserve"> _xlfn.SHEET(#REF!)</f>
        <v>#REF!</v>
      </c>
      <c r="BUG53" s="23" t="e">
        <f>#REF!</f>
        <v>#REF!</v>
      </c>
      <c r="BUH53" s="33" t="e">
        <f t="shared" ref="BUH53:BUS53" si="35">IF(BUH34=0,"",BUH34)</f>
        <v>#REF!</v>
      </c>
      <c r="BUI53" s="33" t="e">
        <f t="shared" si="35"/>
        <v>#REF!</v>
      </c>
      <c r="BUJ53" s="33">
        <f t="shared" si="35"/>
        <v>3040</v>
      </c>
      <c r="BUK53" s="33">
        <f t="shared" si="35"/>
        <v>2974</v>
      </c>
      <c r="BUL53" s="33">
        <f t="shared" si="35"/>
        <v>2979</v>
      </c>
      <c r="BUM53" s="33">
        <f t="shared" si="35"/>
        <v>2993</v>
      </c>
      <c r="BUN53" s="33">
        <f t="shared" si="35"/>
        <v>3020</v>
      </c>
      <c r="BUO53" s="33">
        <f t="shared" si="35"/>
        <v>3087</v>
      </c>
      <c r="BUP53" s="33">
        <f t="shared" si="35"/>
        <v>3264</v>
      </c>
      <c r="BUQ53" s="33">
        <f t="shared" si="35"/>
        <v>2939</v>
      </c>
      <c r="BUR53" s="33">
        <f t="shared" si="35"/>
        <v>2794</v>
      </c>
      <c r="BUS53" s="33">
        <f t="shared" si="35"/>
        <v>2668</v>
      </c>
    </row>
    <row r="54" spans="1901:1917">
      <c r="BUC54" s="23" t="s">
        <v>263</v>
      </c>
      <c r="BUD54" s="23" t="str">
        <f t="shared" ca="1" si="21"/>
        <v>#REF</v>
      </c>
      <c r="BUE54" s="23" t="e">
        <f ca="1" xml:space="preserve"> _xlfn.SHEET(#REF!)</f>
        <v>#REF!</v>
      </c>
      <c r="BUG54" s="23" t="e">
        <f>#REF!</f>
        <v>#REF!</v>
      </c>
      <c r="BUH54" s="34" t="s">
        <v>261</v>
      </c>
      <c r="BUI54" s="34" t="s">
        <v>261</v>
      </c>
      <c r="BUJ54" s="34" t="s">
        <v>261</v>
      </c>
      <c r="BUK54" s="34" t="s">
        <v>261</v>
      </c>
      <c r="BUL54" s="34" t="s">
        <v>261</v>
      </c>
      <c r="BUM54" s="34" t="s">
        <v>261</v>
      </c>
      <c r="BUN54" s="34" t="s">
        <v>261</v>
      </c>
      <c r="BUO54" s="34" t="s">
        <v>261</v>
      </c>
      <c r="BUP54" s="34" t="s">
        <v>261</v>
      </c>
      <c r="BUQ54" s="34" t="s">
        <v>261</v>
      </c>
      <c r="BUR54" s="34" t="s">
        <v>261</v>
      </c>
      <c r="BUS54" s="34" t="s">
        <v>261</v>
      </c>
    </row>
    <row r="55" spans="1901:1917">
      <c r="BUC55" s="23" t="s">
        <v>263</v>
      </c>
      <c r="BUD55" s="23" t="str">
        <f t="shared" ca="1" si="21"/>
        <v>#REF</v>
      </c>
      <c r="BUE55" s="23" t="e">
        <f ca="1" xml:space="preserve"> _xlfn.SHEET(#REF!)</f>
        <v>#REF!</v>
      </c>
      <c r="BUG55" s="23" t="e">
        <f>#REF!</f>
        <v>#REF!</v>
      </c>
      <c r="BUH55" s="35">
        <f>BUH38-0.23</f>
        <v>0.77</v>
      </c>
      <c r="BUI55" s="35">
        <f t="shared" ref="BUI55:BUS55" si="36">BUI38+0.22</f>
        <v>2.2200000000000002</v>
      </c>
      <c r="BUJ55" s="35">
        <f t="shared" si="36"/>
        <v>3.22</v>
      </c>
      <c r="BUK55" s="35">
        <f t="shared" si="36"/>
        <v>4.22</v>
      </c>
      <c r="BUL55" s="35">
        <f t="shared" si="36"/>
        <v>5.22</v>
      </c>
      <c r="BUM55" s="35">
        <f t="shared" si="36"/>
        <v>6.22</v>
      </c>
      <c r="BUN55" s="35">
        <f t="shared" si="36"/>
        <v>7.22</v>
      </c>
      <c r="BUO55" s="35">
        <f t="shared" si="36"/>
        <v>8.2200000000000006</v>
      </c>
      <c r="BUP55" s="35">
        <f t="shared" si="36"/>
        <v>9.2200000000000006</v>
      </c>
      <c r="BUQ55" s="35">
        <f t="shared" si="36"/>
        <v>10.220000000000001</v>
      </c>
      <c r="BUR55" s="35">
        <f t="shared" si="36"/>
        <v>11.22</v>
      </c>
      <c r="BUS55" s="35">
        <f t="shared" si="36"/>
        <v>12.22</v>
      </c>
    </row>
    <row r="56" spans="1901:1917">
      <c r="BUC56" s="23" t="s">
        <v>263</v>
      </c>
      <c r="BUD56" s="23" t="str">
        <f t="shared" ca="1" si="21"/>
        <v>#REF</v>
      </c>
      <c r="BUE56" s="23" t="e">
        <f ca="1" xml:space="preserve"> _xlfn.SHEET(#REF!)</f>
        <v>#REF!</v>
      </c>
      <c r="BUG56" s="23" t="e">
        <f>#REF!</f>
        <v>#REF!</v>
      </c>
      <c r="BUH56" s="35">
        <v>0</v>
      </c>
      <c r="BUI56" s="35">
        <v>0</v>
      </c>
      <c r="BUJ56" s="35">
        <v>0</v>
      </c>
      <c r="BUK56" s="35">
        <v>0</v>
      </c>
      <c r="BUL56" s="35">
        <v>0</v>
      </c>
      <c r="BUM56" s="35">
        <v>0</v>
      </c>
      <c r="BUN56" s="35">
        <v>0</v>
      </c>
      <c r="BUO56" s="35">
        <v>0</v>
      </c>
      <c r="BUP56" s="35">
        <v>0</v>
      </c>
      <c r="BUQ56" s="35">
        <v>0</v>
      </c>
      <c r="BUR56" s="35">
        <v>0</v>
      </c>
      <c r="BUS56" s="35">
        <v>0</v>
      </c>
    </row>
    <row r="57" spans="1901:1917">
      <c r="BUC57" s="23" t="s">
        <v>263</v>
      </c>
      <c r="BUD57" s="23" t="str">
        <f t="shared" ca="1" si="21"/>
        <v>#REF</v>
      </c>
      <c r="BUE57" s="23" t="e">
        <f ca="1" xml:space="preserve"> _xlfn.SHEET(#REF!)</f>
        <v>#REF!</v>
      </c>
      <c r="BUG57" s="23" t="e">
        <f>#REF!</f>
        <v>#REF!</v>
      </c>
      <c r="BUH57" s="36" t="s">
        <v>262</v>
      </c>
      <c r="BUI57" s="36" t="s">
        <v>262</v>
      </c>
      <c r="BUJ57" s="36" t="s">
        <v>262</v>
      </c>
      <c r="BUK57" s="36" t="s">
        <v>262</v>
      </c>
      <c r="BUL57" s="36" t="s">
        <v>262</v>
      </c>
      <c r="BUM57" s="36" t="s">
        <v>262</v>
      </c>
      <c r="BUN57" s="36" t="s">
        <v>262</v>
      </c>
      <c r="BUO57" s="36" t="s">
        <v>262</v>
      </c>
      <c r="BUP57" s="36" t="s">
        <v>262</v>
      </c>
      <c r="BUQ57" s="36" t="s">
        <v>262</v>
      </c>
      <c r="BUR57" s="36" t="s">
        <v>262</v>
      </c>
      <c r="BUS57" s="36" t="s">
        <v>262</v>
      </c>
    </row>
    <row r="58" spans="1901:1917">
      <c r="BUC58" s="23" t="s">
        <v>263</v>
      </c>
      <c r="BUD58" s="23" t="str">
        <f t="shared" ca="1" si="21"/>
        <v>#REF</v>
      </c>
      <c r="BUE58" s="23" t="e">
        <f ca="1" xml:space="preserve"> _xlfn.SHEET(#REF!)</f>
        <v>#REF!</v>
      </c>
      <c r="BUG58" s="23" t="e">
        <f>#REF!</f>
        <v>#REF!</v>
      </c>
      <c r="BUH58" s="36" t="str">
        <f>CONCATENATE(BUH57," ",BUH59)</f>
        <v>Var 1</v>
      </c>
      <c r="BUI58" s="36" t="str">
        <f t="shared" ref="BUI58:BUS58" si="37">CONCATENATE(BUI57," ",BUI59)</f>
        <v>Var 2</v>
      </c>
      <c r="BUJ58" s="36" t="str">
        <f t="shared" si="37"/>
        <v>Var 3</v>
      </c>
      <c r="BUK58" s="36" t="str">
        <f t="shared" si="37"/>
        <v>Var 4</v>
      </c>
      <c r="BUL58" s="36" t="str">
        <f t="shared" si="37"/>
        <v>Var 5</v>
      </c>
      <c r="BUM58" s="36" t="str">
        <f t="shared" si="37"/>
        <v>Var 6</v>
      </c>
      <c r="BUN58" s="36" t="str">
        <f t="shared" si="37"/>
        <v>Var 7</v>
      </c>
      <c r="BUO58" s="36" t="str">
        <f t="shared" si="37"/>
        <v>Var 8</v>
      </c>
      <c r="BUP58" s="36" t="str">
        <f t="shared" si="37"/>
        <v>Var 9</v>
      </c>
      <c r="BUQ58" s="36" t="str">
        <f t="shared" si="37"/>
        <v>Var 10</v>
      </c>
      <c r="BUR58" s="36" t="str">
        <f t="shared" si="37"/>
        <v>Var 11</v>
      </c>
      <c r="BUS58" s="36" t="str">
        <f t="shared" si="37"/>
        <v>Var 12</v>
      </c>
    </row>
    <row r="59" spans="1901:1917">
      <c r="BUC59" s="23" t="s">
        <v>263</v>
      </c>
      <c r="BUD59" s="23" t="str">
        <f t="shared" ca="1" si="21"/>
        <v>#REF</v>
      </c>
      <c r="BUE59" s="23" t="e">
        <f ca="1" xml:space="preserve"> _xlfn.SHEET(#REF!)</f>
        <v>#REF!</v>
      </c>
      <c r="BUG59" s="23" t="e">
        <f>#REF!</f>
        <v>#REF!</v>
      </c>
      <c r="BUH59" s="37">
        <f>BUH38</f>
        <v>1</v>
      </c>
      <c r="BUI59" s="37">
        <f t="shared" ref="BUI59:BUS59" si="38">BUI38</f>
        <v>2</v>
      </c>
      <c r="BUJ59" s="37">
        <f t="shared" si="38"/>
        <v>3</v>
      </c>
      <c r="BUK59" s="37">
        <f t="shared" si="38"/>
        <v>4</v>
      </c>
      <c r="BUL59" s="37">
        <f t="shared" si="38"/>
        <v>5</v>
      </c>
      <c r="BUM59" s="37">
        <f t="shared" si="38"/>
        <v>6</v>
      </c>
      <c r="BUN59" s="37">
        <f t="shared" si="38"/>
        <v>7</v>
      </c>
      <c r="BUO59" s="37">
        <f t="shared" si="38"/>
        <v>8</v>
      </c>
      <c r="BUP59" s="37">
        <f t="shared" si="38"/>
        <v>9</v>
      </c>
      <c r="BUQ59" s="37">
        <f t="shared" si="38"/>
        <v>10</v>
      </c>
      <c r="BUR59" s="37">
        <f t="shared" si="38"/>
        <v>11</v>
      </c>
      <c r="BUS59" s="37">
        <f t="shared" si="38"/>
        <v>12</v>
      </c>
    </row>
    <row r="60" spans="1901:1917">
      <c r="BUC60" s="23" t="s">
        <v>263</v>
      </c>
      <c r="BUD60" s="23" t="str">
        <f t="shared" ca="1" si="21"/>
        <v>#REF</v>
      </c>
      <c r="BUE60" s="23" t="e">
        <f ca="1" xml:space="preserve"> _xlfn.SHEET(#REF!)</f>
        <v>#REF!</v>
      </c>
      <c r="BUG60" s="23" t="e">
        <f>#REF!</f>
        <v>#REF!</v>
      </c>
      <c r="BUH60" s="38" t="e">
        <f t="shared" ref="BUH60:BUS60" si="39">MAX(BUH33:BUH34)</f>
        <v>#REF!</v>
      </c>
      <c r="BUI60" s="38" t="e">
        <f t="shared" si="39"/>
        <v>#REF!</v>
      </c>
      <c r="BUJ60" s="38">
        <f t="shared" si="39"/>
        <v>4300</v>
      </c>
      <c r="BUK60" s="38">
        <f t="shared" si="39"/>
        <v>5100</v>
      </c>
      <c r="BUL60" s="38">
        <f t="shared" si="39"/>
        <v>4800</v>
      </c>
      <c r="BUM60" s="38">
        <f t="shared" si="39"/>
        <v>5200</v>
      </c>
      <c r="BUN60" s="38">
        <f t="shared" si="39"/>
        <v>5100</v>
      </c>
      <c r="BUO60" s="38">
        <f t="shared" si="39"/>
        <v>4100</v>
      </c>
      <c r="BUP60" s="38">
        <f t="shared" si="39"/>
        <v>5200</v>
      </c>
      <c r="BUQ60" s="38">
        <f t="shared" si="39"/>
        <v>5184</v>
      </c>
      <c r="BUR60" s="38">
        <f t="shared" si="39"/>
        <v>4800</v>
      </c>
      <c r="BUS60" s="38">
        <f t="shared" si="39"/>
        <v>4625</v>
      </c>
    </row>
    <row r="61" spans="1901:1917">
      <c r="BUC61" s="23" t="s">
        <v>263</v>
      </c>
      <c r="BUD61" s="23" t="str">
        <f t="shared" ca="1" si="21"/>
        <v>#REF</v>
      </c>
      <c r="BUE61" s="23" t="e">
        <f ca="1" xml:space="preserve"> _xlfn.SHEET(#REF!)</f>
        <v>#REF!</v>
      </c>
      <c r="BUG61" s="23" t="e">
        <f>#REF!</f>
        <v>#REF!</v>
      </c>
      <c r="BUH61" s="39" t="e">
        <f t="shared" ref="BUH61:BUS61" si="40">IF(BUH34-BUH33=0,"",BUH34-BUH33)</f>
        <v>#REF!</v>
      </c>
      <c r="BUI61" s="39" t="e">
        <f t="shared" si="40"/>
        <v>#REF!</v>
      </c>
      <c r="BUJ61" s="39">
        <f t="shared" si="40"/>
        <v>-1260</v>
      </c>
      <c r="BUK61" s="39">
        <f t="shared" si="40"/>
        <v>-2126</v>
      </c>
      <c r="BUL61" s="39">
        <f t="shared" si="40"/>
        <v>-1821</v>
      </c>
      <c r="BUM61" s="39">
        <f t="shared" si="40"/>
        <v>-2207</v>
      </c>
      <c r="BUN61" s="39">
        <f t="shared" si="40"/>
        <v>-2080</v>
      </c>
      <c r="BUO61" s="39">
        <f t="shared" si="40"/>
        <v>-1013</v>
      </c>
      <c r="BUP61" s="39">
        <f t="shared" si="40"/>
        <v>-1936</v>
      </c>
      <c r="BUQ61" s="39">
        <f t="shared" si="40"/>
        <v>-2245</v>
      </c>
      <c r="BUR61" s="39">
        <f t="shared" si="40"/>
        <v>-2006</v>
      </c>
      <c r="BUS61" s="39">
        <f t="shared" si="40"/>
        <v>-1957</v>
      </c>
    </row>
    <row r="62" spans="1901:1917">
      <c r="BUC62" s="23" t="s">
        <v>257</v>
      </c>
      <c r="BUD62" s="23" t="str">
        <f ca="1">SUBSTITUTE(MID(_xlfn.FORMULATEXT(BUG62),2,FIND("!",_xlfn.FORMULATEXT(BUG62),1)-2), "'","")</f>
        <v>#REF</v>
      </c>
      <c r="BUE62" s="23" t="e">
        <f ca="1" xml:space="preserve"> _xlfn.SHEET(#REF!)</f>
        <v>#REF!</v>
      </c>
      <c r="BUG62" s="23" t="e">
        <f>#REF!</f>
        <v>#REF!</v>
      </c>
    </row>
    <row r="63" spans="1901:1917">
      <c r="BUC63" s="23" t="s">
        <v>257</v>
      </c>
      <c r="BUD63" s="23" t="str">
        <f t="shared" ref="BUD63:BUD91" ca="1" si="41">SUBSTITUTE(MID(_xlfn.FORMULATEXT(BUG63),2,FIND("!",_xlfn.FORMULATEXT(BUG63),1)-2), "'","")</f>
        <v>#REF</v>
      </c>
      <c r="BUE63" s="23" t="e">
        <f ca="1" xml:space="preserve"> _xlfn.SHEET(#REF!)</f>
        <v>#REF!</v>
      </c>
      <c r="BUG63" s="23" t="e">
        <f>#REF!</f>
        <v>#REF!</v>
      </c>
      <c r="BUH63" s="40" t="e">
        <f>#REF!</f>
        <v>#REF!</v>
      </c>
      <c r="BUI63" s="40" t="e">
        <f>#REF!</f>
        <v>#REF!</v>
      </c>
      <c r="BUJ63" s="40" t="e">
        <f>#REF!</f>
        <v>#REF!</v>
      </c>
      <c r="BUK63" s="40" t="e">
        <f>#REF!</f>
        <v>#REF!</v>
      </c>
      <c r="BUL63" s="40" t="e">
        <f>#REF!</f>
        <v>#REF!</v>
      </c>
      <c r="BUM63" s="40" t="e">
        <f>#REF!</f>
        <v>#REF!</v>
      </c>
      <c r="BUN63" s="40" t="e">
        <f>#REF!</f>
        <v>#REF!</v>
      </c>
      <c r="BUO63" s="40" t="e">
        <f>#REF!</f>
        <v>#REF!</v>
      </c>
      <c r="BUP63" s="40" t="e">
        <f>#REF!</f>
        <v>#REF!</v>
      </c>
      <c r="BUQ63" s="40" t="e">
        <f>#REF!</f>
        <v>#REF!</v>
      </c>
      <c r="BUR63" s="40" t="e">
        <f>#REF!</f>
        <v>#REF!</v>
      </c>
      <c r="BUS63" s="40" t="e">
        <f>#REF!</f>
        <v>#REF!</v>
      </c>
    </row>
    <row r="64" spans="1901:1917">
      <c r="BUC64" s="23" t="s">
        <v>257</v>
      </c>
      <c r="BUD64" s="23" t="str">
        <f t="shared" ca="1" si="41"/>
        <v>#REF</v>
      </c>
      <c r="BUE64" s="23" t="e">
        <f ca="1" xml:space="preserve"> _xlfn.SHEET(#REF!)</f>
        <v>#REF!</v>
      </c>
      <c r="BUG64" s="23" t="e">
        <f>#REF!</f>
        <v>#REF!</v>
      </c>
      <c r="BUH64" s="40" t="e">
        <f>#REF!</f>
        <v>#REF!</v>
      </c>
      <c r="BUI64" s="40" t="e">
        <f>#REF!</f>
        <v>#REF!</v>
      </c>
      <c r="BUJ64" s="40" t="e">
        <f>#REF!</f>
        <v>#REF!</v>
      </c>
      <c r="BUK64" s="40" t="e">
        <f>#REF!</f>
        <v>#REF!</v>
      </c>
      <c r="BUL64" s="40" t="e">
        <f>#REF!</f>
        <v>#REF!</v>
      </c>
      <c r="BUM64" s="40" t="e">
        <f>#REF!</f>
        <v>#REF!</v>
      </c>
      <c r="BUN64" s="40" t="e">
        <f>#REF!</f>
        <v>#REF!</v>
      </c>
      <c r="BUO64" s="40" t="e">
        <f>#REF!</f>
        <v>#REF!</v>
      </c>
      <c r="BUP64" s="40" t="e">
        <f>#REF!</f>
        <v>#REF!</v>
      </c>
      <c r="BUQ64" s="40" t="e">
        <f>#REF!</f>
        <v>#REF!</v>
      </c>
      <c r="BUR64" s="40" t="e">
        <f>#REF!</f>
        <v>#REF!</v>
      </c>
      <c r="BUS64" s="40" t="e">
        <f>#REF!</f>
        <v>#REF!</v>
      </c>
    </row>
    <row r="65" spans="1901:1917">
      <c r="BUC65" s="23" t="s">
        <v>257</v>
      </c>
      <c r="BUD65" s="23" t="str">
        <f t="shared" ca="1" si="41"/>
        <v>#REF</v>
      </c>
      <c r="BUE65" s="23" t="e">
        <f ca="1" xml:space="preserve"> _xlfn.SHEET(#REF!)</f>
        <v>#REF!</v>
      </c>
      <c r="BUG65" s="23" t="e">
        <f>#REF!</f>
        <v>#REF!</v>
      </c>
      <c r="BUH65" s="27" t="s">
        <v>258</v>
      </c>
    </row>
    <row r="66" spans="1901:1917">
      <c r="BUC66" s="23" t="s">
        <v>257</v>
      </c>
      <c r="BUD66" s="23" t="str">
        <f t="shared" ca="1" si="41"/>
        <v>#REF</v>
      </c>
      <c r="BUE66" s="23" t="e">
        <f ca="1" xml:space="preserve"> _xlfn.SHEET(#REF!)</f>
        <v>#REF!</v>
      </c>
      <c r="BUG66" s="23" t="e">
        <f>#REF!</f>
        <v>#REF!</v>
      </c>
      <c r="BUH66" s="28" t="s">
        <v>76</v>
      </c>
      <c r="BUI66" s="28" t="s">
        <v>76</v>
      </c>
      <c r="BUJ66" s="28" t="s">
        <v>76</v>
      </c>
      <c r="BUK66" s="28" t="s">
        <v>76</v>
      </c>
      <c r="BUL66" s="28" t="s">
        <v>76</v>
      </c>
      <c r="BUM66" s="28" t="s">
        <v>76</v>
      </c>
      <c r="BUN66" s="28" t="s">
        <v>76</v>
      </c>
      <c r="BUO66" s="28" t="s">
        <v>76</v>
      </c>
      <c r="BUP66" s="28" t="s">
        <v>76</v>
      </c>
      <c r="BUQ66" s="28" t="s">
        <v>76</v>
      </c>
      <c r="BUR66" s="28" t="s">
        <v>76</v>
      </c>
      <c r="BUS66" s="28" t="s">
        <v>76</v>
      </c>
    </row>
    <row r="67" spans="1901:1917">
      <c r="BUC67" s="23" t="s">
        <v>257</v>
      </c>
      <c r="BUD67" s="23" t="str">
        <f t="shared" ca="1" si="41"/>
        <v>#REF</v>
      </c>
      <c r="BUE67" s="23" t="e">
        <f ca="1" xml:space="preserve"> _xlfn.SHEET(#REF!)</f>
        <v>#REF!</v>
      </c>
      <c r="BUG67" s="23" t="e">
        <f>#REF!</f>
        <v>#REF!</v>
      </c>
      <c r="BUH67" s="28" t="str">
        <f>CONCATENATE(BUH66," ",BUH68)</f>
        <v>Green 1</v>
      </c>
      <c r="BUI67" s="28" t="str">
        <f t="shared" ref="BUI67:BUS67" si="42">CONCATENATE(BUI66," ",BUI68)</f>
        <v>Green 2</v>
      </c>
      <c r="BUJ67" s="28" t="str">
        <f t="shared" si="42"/>
        <v>Green 3</v>
      </c>
      <c r="BUK67" s="28" t="str">
        <f t="shared" si="42"/>
        <v>Green 4</v>
      </c>
      <c r="BUL67" s="28" t="str">
        <f t="shared" si="42"/>
        <v>Green 5</v>
      </c>
      <c r="BUM67" s="28" t="str">
        <f t="shared" si="42"/>
        <v>Green 6</v>
      </c>
      <c r="BUN67" s="28" t="str">
        <f t="shared" si="42"/>
        <v>Green 7</v>
      </c>
      <c r="BUO67" s="28" t="str">
        <f t="shared" si="42"/>
        <v>Green 8</v>
      </c>
      <c r="BUP67" s="28" t="str">
        <f t="shared" si="42"/>
        <v>Green 9</v>
      </c>
      <c r="BUQ67" s="28" t="str">
        <f t="shared" si="42"/>
        <v>Green 10</v>
      </c>
      <c r="BUR67" s="28" t="str">
        <f t="shared" si="42"/>
        <v>Green 11</v>
      </c>
      <c r="BUS67" s="28" t="str">
        <f t="shared" si="42"/>
        <v>Green 12</v>
      </c>
    </row>
    <row r="68" spans="1901:1917">
      <c r="BUC68" s="23" t="s">
        <v>257</v>
      </c>
      <c r="BUD68" s="23" t="str">
        <f t="shared" ca="1" si="41"/>
        <v>#REF</v>
      </c>
      <c r="BUE68" s="23" t="e">
        <f ca="1" xml:space="preserve"> _xlfn.SHEET(#REF!)</f>
        <v>#REF!</v>
      </c>
      <c r="BUG68" s="23" t="e">
        <f>#REF!</f>
        <v>#REF!</v>
      </c>
      <c r="BUH68" s="29">
        <v>1</v>
      </c>
      <c r="BUI68" s="29">
        <f t="shared" ref="BUI68:BUS68" si="43">BUH68+1</f>
        <v>2</v>
      </c>
      <c r="BUJ68" s="29">
        <f t="shared" si="43"/>
        <v>3</v>
      </c>
      <c r="BUK68" s="29">
        <f t="shared" si="43"/>
        <v>4</v>
      </c>
      <c r="BUL68" s="29">
        <f t="shared" si="43"/>
        <v>5</v>
      </c>
      <c r="BUM68" s="29">
        <f t="shared" si="43"/>
        <v>6</v>
      </c>
      <c r="BUN68" s="29">
        <f t="shared" si="43"/>
        <v>7</v>
      </c>
      <c r="BUO68" s="29">
        <f t="shared" si="43"/>
        <v>8</v>
      </c>
      <c r="BUP68" s="29">
        <f t="shared" si="43"/>
        <v>9</v>
      </c>
      <c r="BUQ68" s="29">
        <f t="shared" si="43"/>
        <v>10</v>
      </c>
      <c r="BUR68" s="29">
        <f t="shared" si="43"/>
        <v>11</v>
      </c>
      <c r="BUS68" s="29">
        <f t="shared" si="43"/>
        <v>12</v>
      </c>
    </row>
    <row r="69" spans="1901:1917">
      <c r="BUC69" s="23" t="s">
        <v>257</v>
      </c>
      <c r="BUD69" s="23" t="str">
        <f t="shared" ca="1" si="41"/>
        <v>#REF</v>
      </c>
      <c r="BUE69" s="23" t="e">
        <f ca="1" xml:space="preserve"> _xlfn.SHEET(#REF!)</f>
        <v>#REF!</v>
      </c>
      <c r="BUG69" s="23" t="e">
        <f>#REF!</f>
        <v>#REF!</v>
      </c>
      <c r="BUH69" s="29">
        <f>BUH68</f>
        <v>1</v>
      </c>
      <c r="BUI69" s="29">
        <f t="shared" ref="BUI69:BUS69" si="44">BUI68</f>
        <v>2</v>
      </c>
      <c r="BUJ69" s="29">
        <f t="shared" si="44"/>
        <v>3</v>
      </c>
      <c r="BUK69" s="29">
        <f t="shared" si="44"/>
        <v>4</v>
      </c>
      <c r="BUL69" s="29">
        <f t="shared" si="44"/>
        <v>5</v>
      </c>
      <c r="BUM69" s="29">
        <f t="shared" si="44"/>
        <v>6</v>
      </c>
      <c r="BUN69" s="29">
        <f t="shared" si="44"/>
        <v>7</v>
      </c>
      <c r="BUO69" s="29">
        <f t="shared" si="44"/>
        <v>8</v>
      </c>
      <c r="BUP69" s="29">
        <f t="shared" si="44"/>
        <v>9</v>
      </c>
      <c r="BUQ69" s="29">
        <f t="shared" si="44"/>
        <v>10</v>
      </c>
      <c r="BUR69" s="29">
        <f t="shared" si="44"/>
        <v>11</v>
      </c>
      <c r="BUS69" s="29">
        <f t="shared" si="44"/>
        <v>12</v>
      </c>
    </row>
    <row r="70" spans="1901:1917">
      <c r="BUC70" s="23" t="s">
        <v>257</v>
      </c>
      <c r="BUD70" s="23" t="str">
        <f t="shared" ca="1" si="41"/>
        <v>#REF</v>
      </c>
      <c r="BUE70" s="23" t="e">
        <f ca="1" xml:space="preserve"> _xlfn.SHEET(#REF!)</f>
        <v>#REF!</v>
      </c>
      <c r="BUG70" s="23" t="e">
        <f>#REF!</f>
        <v>#REF!</v>
      </c>
      <c r="BUH70" s="29" t="e">
        <f t="shared" ref="BUH70:BUS70" si="45">IF(BUH64&gt;BUH63,BUH63,0)</f>
        <v>#REF!</v>
      </c>
      <c r="BUI70" s="29" t="e">
        <f t="shared" si="45"/>
        <v>#REF!</v>
      </c>
      <c r="BUJ70" s="29" t="e">
        <f t="shared" si="45"/>
        <v>#REF!</v>
      </c>
      <c r="BUK70" s="29" t="e">
        <f t="shared" si="45"/>
        <v>#REF!</v>
      </c>
      <c r="BUL70" s="29" t="e">
        <f t="shared" si="45"/>
        <v>#REF!</v>
      </c>
      <c r="BUM70" s="29" t="e">
        <f t="shared" si="45"/>
        <v>#REF!</v>
      </c>
      <c r="BUN70" s="29" t="e">
        <f t="shared" si="45"/>
        <v>#REF!</v>
      </c>
      <c r="BUO70" s="29" t="e">
        <f t="shared" si="45"/>
        <v>#REF!</v>
      </c>
      <c r="BUP70" s="29" t="e">
        <f t="shared" si="45"/>
        <v>#REF!</v>
      </c>
      <c r="BUQ70" s="29" t="e">
        <f t="shared" si="45"/>
        <v>#REF!</v>
      </c>
      <c r="BUR70" s="29" t="e">
        <f t="shared" si="45"/>
        <v>#REF!</v>
      </c>
      <c r="BUS70" s="29" t="e">
        <f t="shared" si="45"/>
        <v>#REF!</v>
      </c>
    </row>
    <row r="71" spans="1901:1917">
      <c r="BUC71" s="23" t="s">
        <v>257</v>
      </c>
      <c r="BUD71" s="23" t="str">
        <f t="shared" ca="1" si="41"/>
        <v>#REF</v>
      </c>
      <c r="BUE71" s="23" t="e">
        <f ca="1" xml:space="preserve"> _xlfn.SHEET(#REF!)</f>
        <v>#REF!</v>
      </c>
      <c r="BUG71" s="23" t="e">
        <f>#REF!</f>
        <v>#REF!</v>
      </c>
      <c r="BUH71" s="29" t="e">
        <f t="shared" ref="BUH71:BUS71" si="46">IF(BUH64&gt;BUH63,BUH64,0)</f>
        <v>#REF!</v>
      </c>
      <c r="BUI71" s="29" t="e">
        <f t="shared" si="46"/>
        <v>#REF!</v>
      </c>
      <c r="BUJ71" s="29" t="e">
        <f t="shared" si="46"/>
        <v>#REF!</v>
      </c>
      <c r="BUK71" s="29" t="e">
        <f t="shared" si="46"/>
        <v>#REF!</v>
      </c>
      <c r="BUL71" s="29" t="e">
        <f t="shared" si="46"/>
        <v>#REF!</v>
      </c>
      <c r="BUM71" s="29" t="e">
        <f t="shared" si="46"/>
        <v>#REF!</v>
      </c>
      <c r="BUN71" s="29" t="e">
        <f t="shared" si="46"/>
        <v>#REF!</v>
      </c>
      <c r="BUO71" s="29" t="e">
        <f t="shared" si="46"/>
        <v>#REF!</v>
      </c>
      <c r="BUP71" s="29" t="e">
        <f t="shared" si="46"/>
        <v>#REF!</v>
      </c>
      <c r="BUQ71" s="29" t="e">
        <f t="shared" si="46"/>
        <v>#REF!</v>
      </c>
      <c r="BUR71" s="29" t="e">
        <f t="shared" si="46"/>
        <v>#REF!</v>
      </c>
      <c r="BUS71" s="29" t="e">
        <f t="shared" si="46"/>
        <v>#REF!</v>
      </c>
    </row>
    <row r="72" spans="1901:1917">
      <c r="BUC72" s="23" t="s">
        <v>257</v>
      </c>
      <c r="BUD72" s="23" t="str">
        <f t="shared" ca="1" si="41"/>
        <v>#REF</v>
      </c>
      <c r="BUE72" s="23" t="e">
        <f ca="1" xml:space="preserve"> _xlfn.SHEET(#REF!)</f>
        <v>#REF!</v>
      </c>
      <c r="BUG72" s="23" t="e">
        <f>#REF!</f>
        <v>#REF!</v>
      </c>
      <c r="BUH72" s="30" t="s">
        <v>259</v>
      </c>
      <c r="BUI72" s="30" t="s">
        <v>259</v>
      </c>
      <c r="BUJ72" s="30" t="s">
        <v>259</v>
      </c>
      <c r="BUK72" s="30" t="s">
        <v>259</v>
      </c>
      <c r="BUL72" s="30" t="s">
        <v>259</v>
      </c>
      <c r="BUM72" s="30" t="s">
        <v>259</v>
      </c>
      <c r="BUN72" s="30" t="s">
        <v>259</v>
      </c>
      <c r="BUO72" s="30" t="s">
        <v>259</v>
      </c>
      <c r="BUP72" s="30" t="s">
        <v>259</v>
      </c>
      <c r="BUQ72" s="30" t="s">
        <v>259</v>
      </c>
      <c r="BUR72" s="30" t="s">
        <v>259</v>
      </c>
      <c r="BUS72" s="30" t="s">
        <v>259</v>
      </c>
    </row>
    <row r="73" spans="1901:1917">
      <c r="BUC73" s="23" t="s">
        <v>257</v>
      </c>
      <c r="BUD73" s="23" t="str">
        <f t="shared" ca="1" si="41"/>
        <v>#REF</v>
      </c>
      <c r="BUE73" s="23" t="e">
        <f ca="1" xml:space="preserve"> _xlfn.SHEET(#REF!)</f>
        <v>#REF!</v>
      </c>
      <c r="BUG73" s="23" t="e">
        <f>#REF!</f>
        <v>#REF!</v>
      </c>
      <c r="BUH73" s="30" t="str">
        <f>CONCATENATE(BUH72," ",BUH74)</f>
        <v>Red 1</v>
      </c>
      <c r="BUI73" s="30" t="str">
        <f t="shared" ref="BUI73:BUS73" si="47">CONCATENATE(BUI72," ",BUI74)</f>
        <v>Red 2</v>
      </c>
      <c r="BUJ73" s="30" t="str">
        <f t="shared" si="47"/>
        <v>Red 3</v>
      </c>
      <c r="BUK73" s="30" t="str">
        <f t="shared" si="47"/>
        <v>Red 4</v>
      </c>
      <c r="BUL73" s="30" t="str">
        <f t="shared" si="47"/>
        <v>Red 5</v>
      </c>
      <c r="BUM73" s="30" t="str">
        <f t="shared" si="47"/>
        <v>Red 6</v>
      </c>
      <c r="BUN73" s="30" t="str">
        <f t="shared" si="47"/>
        <v>Red 7</v>
      </c>
      <c r="BUO73" s="30" t="str">
        <f t="shared" si="47"/>
        <v>Red 8</v>
      </c>
      <c r="BUP73" s="30" t="str">
        <f t="shared" si="47"/>
        <v>Red 9</v>
      </c>
      <c r="BUQ73" s="30" t="str">
        <f t="shared" si="47"/>
        <v>Red 10</v>
      </c>
      <c r="BUR73" s="30" t="str">
        <f t="shared" si="47"/>
        <v>Red 11</v>
      </c>
      <c r="BUS73" s="30" t="str">
        <f t="shared" si="47"/>
        <v>Red 12</v>
      </c>
    </row>
    <row r="74" spans="1901:1917">
      <c r="BUC74" s="23" t="s">
        <v>257</v>
      </c>
      <c r="BUD74" s="23" t="str">
        <f t="shared" ca="1" si="41"/>
        <v>#REF</v>
      </c>
      <c r="BUE74" s="23" t="e">
        <f ca="1" xml:space="preserve"> _xlfn.SHEET(#REF!)</f>
        <v>#REF!</v>
      </c>
      <c r="BUG74" s="23" t="e">
        <f>#REF!</f>
        <v>#REF!</v>
      </c>
      <c r="BUH74" s="31">
        <f>BUH68</f>
        <v>1</v>
      </c>
      <c r="BUI74" s="31">
        <f t="shared" ref="BUI74:BUS74" si="48">BUI68</f>
        <v>2</v>
      </c>
      <c r="BUJ74" s="31">
        <f t="shared" si="48"/>
        <v>3</v>
      </c>
      <c r="BUK74" s="31">
        <f t="shared" si="48"/>
        <v>4</v>
      </c>
      <c r="BUL74" s="31">
        <f t="shared" si="48"/>
        <v>5</v>
      </c>
      <c r="BUM74" s="31">
        <f t="shared" si="48"/>
        <v>6</v>
      </c>
      <c r="BUN74" s="31">
        <f t="shared" si="48"/>
        <v>7</v>
      </c>
      <c r="BUO74" s="31">
        <f t="shared" si="48"/>
        <v>8</v>
      </c>
      <c r="BUP74" s="31">
        <f t="shared" si="48"/>
        <v>9</v>
      </c>
      <c r="BUQ74" s="31">
        <f t="shared" si="48"/>
        <v>10</v>
      </c>
      <c r="BUR74" s="31">
        <f t="shared" si="48"/>
        <v>11</v>
      </c>
      <c r="BUS74" s="31">
        <f t="shared" si="48"/>
        <v>12</v>
      </c>
    </row>
    <row r="75" spans="1901:1917">
      <c r="BUC75" s="23" t="s">
        <v>257</v>
      </c>
      <c r="BUD75" s="23" t="str">
        <f t="shared" ca="1" si="41"/>
        <v>#REF</v>
      </c>
      <c r="BUE75" s="23" t="e">
        <f ca="1" xml:space="preserve"> _xlfn.SHEET(#REF!)</f>
        <v>#REF!</v>
      </c>
      <c r="BUG75" s="23" t="e">
        <f>#REF!</f>
        <v>#REF!</v>
      </c>
      <c r="BUH75" s="31">
        <f>BUH68</f>
        <v>1</v>
      </c>
      <c r="BUI75" s="31">
        <f t="shared" ref="BUI75:BUS75" si="49">BUI68</f>
        <v>2</v>
      </c>
      <c r="BUJ75" s="31">
        <f t="shared" si="49"/>
        <v>3</v>
      </c>
      <c r="BUK75" s="31">
        <f t="shared" si="49"/>
        <v>4</v>
      </c>
      <c r="BUL75" s="31">
        <f t="shared" si="49"/>
        <v>5</v>
      </c>
      <c r="BUM75" s="31">
        <f t="shared" si="49"/>
        <v>6</v>
      </c>
      <c r="BUN75" s="31">
        <f t="shared" si="49"/>
        <v>7</v>
      </c>
      <c r="BUO75" s="31">
        <f t="shared" si="49"/>
        <v>8</v>
      </c>
      <c r="BUP75" s="31">
        <f t="shared" si="49"/>
        <v>9</v>
      </c>
      <c r="BUQ75" s="31">
        <f t="shared" si="49"/>
        <v>10</v>
      </c>
      <c r="BUR75" s="31">
        <f t="shared" si="49"/>
        <v>11</v>
      </c>
      <c r="BUS75" s="31">
        <f t="shared" si="49"/>
        <v>12</v>
      </c>
    </row>
    <row r="76" spans="1901:1917">
      <c r="BUC76" s="23" t="s">
        <v>257</v>
      </c>
      <c r="BUD76" s="23" t="str">
        <f t="shared" ca="1" si="41"/>
        <v>#REF</v>
      </c>
      <c r="BUE76" s="23" t="e">
        <f ca="1" xml:space="preserve"> _xlfn.SHEET(#REF!)</f>
        <v>#REF!</v>
      </c>
      <c r="BUG76" s="23" t="e">
        <f>#REF!</f>
        <v>#REF!</v>
      </c>
      <c r="BUH76" s="31" t="e">
        <f t="shared" ref="BUH76:BUS76" si="50">IF(BUH63&gt;BUH64,BUH63,0)</f>
        <v>#REF!</v>
      </c>
      <c r="BUI76" s="31" t="e">
        <f t="shared" si="50"/>
        <v>#REF!</v>
      </c>
      <c r="BUJ76" s="31" t="e">
        <f t="shared" si="50"/>
        <v>#REF!</v>
      </c>
      <c r="BUK76" s="31" t="e">
        <f t="shared" si="50"/>
        <v>#REF!</v>
      </c>
      <c r="BUL76" s="31" t="e">
        <f t="shared" si="50"/>
        <v>#REF!</v>
      </c>
      <c r="BUM76" s="31" t="e">
        <f t="shared" si="50"/>
        <v>#REF!</v>
      </c>
      <c r="BUN76" s="31" t="e">
        <f t="shared" si="50"/>
        <v>#REF!</v>
      </c>
      <c r="BUO76" s="31" t="e">
        <f t="shared" si="50"/>
        <v>#REF!</v>
      </c>
      <c r="BUP76" s="31" t="e">
        <f t="shared" si="50"/>
        <v>#REF!</v>
      </c>
      <c r="BUQ76" s="31" t="e">
        <f t="shared" si="50"/>
        <v>#REF!</v>
      </c>
      <c r="BUR76" s="31" t="e">
        <f t="shared" si="50"/>
        <v>#REF!</v>
      </c>
      <c r="BUS76" s="31" t="e">
        <f t="shared" si="50"/>
        <v>#REF!</v>
      </c>
    </row>
    <row r="77" spans="1901:1917">
      <c r="BUC77" s="23" t="s">
        <v>257</v>
      </c>
      <c r="BUD77" s="23" t="str">
        <f t="shared" ca="1" si="41"/>
        <v>#REF</v>
      </c>
      <c r="BUE77" s="23" t="e">
        <f ca="1" xml:space="preserve"> _xlfn.SHEET(#REF!)</f>
        <v>#REF!</v>
      </c>
      <c r="BUG77" s="23" t="e">
        <f>#REF!</f>
        <v>#REF!</v>
      </c>
      <c r="BUH77" s="31" t="e">
        <f t="shared" ref="BUH77:BUS77" si="51">IF(BUH63&gt;BUH64,BUH64,0)</f>
        <v>#REF!</v>
      </c>
      <c r="BUI77" s="31" t="e">
        <f t="shared" si="51"/>
        <v>#REF!</v>
      </c>
      <c r="BUJ77" s="31" t="e">
        <f t="shared" si="51"/>
        <v>#REF!</v>
      </c>
      <c r="BUK77" s="31" t="e">
        <f t="shared" si="51"/>
        <v>#REF!</v>
      </c>
      <c r="BUL77" s="31" t="e">
        <f t="shared" si="51"/>
        <v>#REF!</v>
      </c>
      <c r="BUM77" s="31" t="e">
        <f t="shared" si="51"/>
        <v>#REF!</v>
      </c>
      <c r="BUN77" s="31" t="e">
        <f t="shared" si="51"/>
        <v>#REF!</v>
      </c>
      <c r="BUO77" s="31" t="e">
        <f t="shared" si="51"/>
        <v>#REF!</v>
      </c>
      <c r="BUP77" s="31" t="e">
        <f t="shared" si="51"/>
        <v>#REF!</v>
      </c>
      <c r="BUQ77" s="31" t="e">
        <f t="shared" si="51"/>
        <v>#REF!</v>
      </c>
      <c r="BUR77" s="31" t="e">
        <f t="shared" si="51"/>
        <v>#REF!</v>
      </c>
      <c r="BUS77" s="31" t="e">
        <f t="shared" si="51"/>
        <v>#REF!</v>
      </c>
    </row>
    <row r="78" spans="1901:1917">
      <c r="BUC78" s="23" t="s">
        <v>257</v>
      </c>
      <c r="BUD78" s="23" t="str">
        <f t="shared" ca="1" si="41"/>
        <v>#REF</v>
      </c>
      <c r="BUE78" s="23" t="e">
        <f ca="1" xml:space="preserve"> _xlfn.SHEET(#REF!)</f>
        <v>#REF!</v>
      </c>
      <c r="BUG78" s="23" t="e">
        <f>#REF!</f>
        <v>#REF!</v>
      </c>
      <c r="BUH78" s="32" t="s">
        <v>260</v>
      </c>
      <c r="BUI78" s="32" t="s">
        <v>260</v>
      </c>
      <c r="BUJ78" s="32" t="s">
        <v>260</v>
      </c>
      <c r="BUK78" s="32" t="s">
        <v>260</v>
      </c>
      <c r="BUL78" s="32" t="s">
        <v>260</v>
      </c>
      <c r="BUM78" s="32" t="s">
        <v>260</v>
      </c>
      <c r="BUN78" s="32" t="s">
        <v>260</v>
      </c>
      <c r="BUO78" s="32" t="s">
        <v>260</v>
      </c>
      <c r="BUP78" s="32" t="s">
        <v>260</v>
      </c>
      <c r="BUQ78" s="32" t="s">
        <v>260</v>
      </c>
      <c r="BUR78" s="32" t="s">
        <v>260</v>
      </c>
      <c r="BUS78" s="32" t="s">
        <v>260</v>
      </c>
    </row>
    <row r="79" spans="1901:1917">
      <c r="BUC79" s="23" t="s">
        <v>257</v>
      </c>
      <c r="BUD79" s="23" t="str">
        <f t="shared" ca="1" si="41"/>
        <v>#REF</v>
      </c>
      <c r="BUE79" s="23" t="e">
        <f ca="1" xml:space="preserve"> _xlfn.SHEET(#REF!)</f>
        <v>#REF!</v>
      </c>
      <c r="BUG79" s="23" t="e">
        <f>#REF!</f>
        <v>#REF!</v>
      </c>
      <c r="BUH79" s="32" t="str">
        <f>CONCATENATE(BUH78," ",BUH68)</f>
        <v>Actual 1</v>
      </c>
      <c r="BUI79" s="32" t="str">
        <f t="shared" ref="BUI79:BUS79" si="52">CONCATENATE(BUI78," ",BUI68)</f>
        <v>Actual 2</v>
      </c>
      <c r="BUJ79" s="32" t="str">
        <f t="shared" si="52"/>
        <v>Actual 3</v>
      </c>
      <c r="BUK79" s="32" t="str">
        <f t="shared" si="52"/>
        <v>Actual 4</v>
      </c>
      <c r="BUL79" s="32" t="str">
        <f t="shared" si="52"/>
        <v>Actual 5</v>
      </c>
      <c r="BUM79" s="32" t="str">
        <f t="shared" si="52"/>
        <v>Actual 6</v>
      </c>
      <c r="BUN79" s="32" t="str">
        <f t="shared" si="52"/>
        <v>Actual 7</v>
      </c>
      <c r="BUO79" s="32" t="str">
        <f t="shared" si="52"/>
        <v>Actual 8</v>
      </c>
      <c r="BUP79" s="32" t="str">
        <f t="shared" si="52"/>
        <v>Actual 9</v>
      </c>
      <c r="BUQ79" s="32" t="str">
        <f t="shared" si="52"/>
        <v>Actual 10</v>
      </c>
      <c r="BUR79" s="32" t="str">
        <f t="shared" si="52"/>
        <v>Actual 11</v>
      </c>
      <c r="BUS79" s="32" t="str">
        <f t="shared" si="52"/>
        <v>Actual 12</v>
      </c>
    </row>
    <row r="80" spans="1901:1917">
      <c r="BUC80" s="23" t="s">
        <v>257</v>
      </c>
      <c r="BUD80" s="23" t="str">
        <f t="shared" ca="1" si="41"/>
        <v>#REF</v>
      </c>
      <c r="BUE80" s="23" t="e">
        <f ca="1" xml:space="preserve"> _xlfn.SHEET(#REF!)</f>
        <v>#REF!</v>
      </c>
      <c r="BUG80" s="23" t="e">
        <f>#REF!</f>
        <v>#REF!</v>
      </c>
      <c r="BUH80" s="33">
        <f>BUH68-0.25</f>
        <v>0.75</v>
      </c>
      <c r="BUI80" s="33">
        <f t="shared" ref="BUI80:BUS80" si="53">BUI68-0.25</f>
        <v>1.75</v>
      </c>
      <c r="BUJ80" s="33">
        <f t="shared" si="53"/>
        <v>2.75</v>
      </c>
      <c r="BUK80" s="33">
        <f t="shared" si="53"/>
        <v>3.75</v>
      </c>
      <c r="BUL80" s="33">
        <f t="shared" si="53"/>
        <v>4.75</v>
      </c>
      <c r="BUM80" s="33">
        <f t="shared" si="53"/>
        <v>5.75</v>
      </c>
      <c r="BUN80" s="33">
        <f t="shared" si="53"/>
        <v>6.75</v>
      </c>
      <c r="BUO80" s="33">
        <f t="shared" si="53"/>
        <v>7.75</v>
      </c>
      <c r="BUP80" s="33">
        <f t="shared" si="53"/>
        <v>8.75</v>
      </c>
      <c r="BUQ80" s="33">
        <f t="shared" si="53"/>
        <v>9.75</v>
      </c>
      <c r="BUR80" s="33">
        <f t="shared" si="53"/>
        <v>10.75</v>
      </c>
      <c r="BUS80" s="33">
        <f t="shared" si="53"/>
        <v>11.75</v>
      </c>
    </row>
    <row r="81" spans="1901:1917">
      <c r="BUC81" s="23" t="s">
        <v>257</v>
      </c>
      <c r="BUD81" s="23" t="str">
        <f t="shared" ca="1" si="41"/>
        <v>#REF</v>
      </c>
      <c r="BUE81" s="23" t="e">
        <f ca="1" xml:space="preserve"> _xlfn.SHEET(#REF!)</f>
        <v>#REF!</v>
      </c>
      <c r="BUG81" s="23" t="e">
        <f>#REF!</f>
        <v>#REF!</v>
      </c>
      <c r="BUH81" s="33">
        <f>BUH68-0.25</f>
        <v>0.75</v>
      </c>
      <c r="BUI81" s="33">
        <f t="shared" ref="BUI81:BUS81" si="54">BUI68-0.25</f>
        <v>1.75</v>
      </c>
      <c r="BUJ81" s="33">
        <f t="shared" si="54"/>
        <v>2.75</v>
      </c>
      <c r="BUK81" s="33">
        <f t="shared" si="54"/>
        <v>3.75</v>
      </c>
      <c r="BUL81" s="33">
        <f t="shared" si="54"/>
        <v>4.75</v>
      </c>
      <c r="BUM81" s="33">
        <f t="shared" si="54"/>
        <v>5.75</v>
      </c>
      <c r="BUN81" s="33">
        <f t="shared" si="54"/>
        <v>6.75</v>
      </c>
      <c r="BUO81" s="33">
        <f t="shared" si="54"/>
        <v>7.75</v>
      </c>
      <c r="BUP81" s="33">
        <f t="shared" si="54"/>
        <v>8.75</v>
      </c>
      <c r="BUQ81" s="33">
        <f t="shared" si="54"/>
        <v>9.75</v>
      </c>
      <c r="BUR81" s="33">
        <f t="shared" si="54"/>
        <v>10.75</v>
      </c>
      <c r="BUS81" s="33">
        <f t="shared" si="54"/>
        <v>11.75</v>
      </c>
    </row>
    <row r="82" spans="1901:1917">
      <c r="BUC82" s="23" t="s">
        <v>257</v>
      </c>
      <c r="BUD82" s="23" t="str">
        <f t="shared" ca="1" si="41"/>
        <v>#REF</v>
      </c>
      <c r="BUE82" s="23" t="e">
        <f ca="1" xml:space="preserve"> _xlfn.SHEET(#REF!)</f>
        <v>#REF!</v>
      </c>
      <c r="BUG82" s="23" t="e">
        <f>#REF!</f>
        <v>#REF!</v>
      </c>
      <c r="BUH82" s="33">
        <v>0</v>
      </c>
      <c r="BUI82" s="33">
        <v>0</v>
      </c>
      <c r="BUJ82" s="33">
        <v>0</v>
      </c>
      <c r="BUK82" s="33">
        <v>0</v>
      </c>
      <c r="BUL82" s="33">
        <v>0</v>
      </c>
      <c r="BUM82" s="33">
        <v>0</v>
      </c>
      <c r="BUN82" s="33">
        <v>0</v>
      </c>
      <c r="BUO82" s="33">
        <v>0</v>
      </c>
      <c r="BUP82" s="33">
        <v>0</v>
      </c>
      <c r="BUQ82" s="33">
        <v>0</v>
      </c>
      <c r="BUR82" s="33">
        <v>0</v>
      </c>
      <c r="BUS82" s="33">
        <v>0</v>
      </c>
    </row>
    <row r="83" spans="1901:1917">
      <c r="BUC83" s="23" t="s">
        <v>257</v>
      </c>
      <c r="BUD83" s="23" t="str">
        <f t="shared" ca="1" si="41"/>
        <v>#REF</v>
      </c>
      <c r="BUE83" s="23" t="e">
        <f ca="1" xml:space="preserve"> _xlfn.SHEET(#REF!)</f>
        <v>#REF!</v>
      </c>
      <c r="BUG83" s="23" t="e">
        <f>#REF!</f>
        <v>#REF!</v>
      </c>
      <c r="BUH83" s="33" t="e">
        <f t="shared" ref="BUH83:BUS83" si="55">IF(BUH64=0,"",BUH64)</f>
        <v>#REF!</v>
      </c>
      <c r="BUI83" s="33" t="e">
        <f t="shared" si="55"/>
        <v>#REF!</v>
      </c>
      <c r="BUJ83" s="33" t="e">
        <f t="shared" si="55"/>
        <v>#REF!</v>
      </c>
      <c r="BUK83" s="33" t="e">
        <f t="shared" si="55"/>
        <v>#REF!</v>
      </c>
      <c r="BUL83" s="33" t="e">
        <f t="shared" si="55"/>
        <v>#REF!</v>
      </c>
      <c r="BUM83" s="33" t="e">
        <f t="shared" si="55"/>
        <v>#REF!</v>
      </c>
      <c r="BUN83" s="33" t="e">
        <f t="shared" si="55"/>
        <v>#REF!</v>
      </c>
      <c r="BUO83" s="33" t="e">
        <f t="shared" si="55"/>
        <v>#REF!</v>
      </c>
      <c r="BUP83" s="33" t="e">
        <f t="shared" si="55"/>
        <v>#REF!</v>
      </c>
      <c r="BUQ83" s="33" t="e">
        <f t="shared" si="55"/>
        <v>#REF!</v>
      </c>
      <c r="BUR83" s="33" t="e">
        <f t="shared" si="55"/>
        <v>#REF!</v>
      </c>
      <c r="BUS83" s="33" t="e">
        <f t="shared" si="55"/>
        <v>#REF!</v>
      </c>
    </row>
    <row r="84" spans="1901:1917">
      <c r="BUC84" s="23" t="s">
        <v>257</v>
      </c>
      <c r="BUD84" s="23" t="str">
        <f t="shared" ca="1" si="41"/>
        <v>#REF</v>
      </c>
      <c r="BUE84" s="23" t="e">
        <f ca="1" xml:space="preserve"> _xlfn.SHEET(#REF!)</f>
        <v>#REF!</v>
      </c>
      <c r="BUG84" s="23" t="e">
        <f>#REF!</f>
        <v>#REF!</v>
      </c>
      <c r="BUH84" s="34" t="s">
        <v>261</v>
      </c>
      <c r="BUI84" s="34" t="s">
        <v>261</v>
      </c>
      <c r="BUJ84" s="34" t="s">
        <v>261</v>
      </c>
      <c r="BUK84" s="34" t="s">
        <v>261</v>
      </c>
      <c r="BUL84" s="34" t="s">
        <v>261</v>
      </c>
      <c r="BUM84" s="34" t="s">
        <v>261</v>
      </c>
      <c r="BUN84" s="34" t="s">
        <v>261</v>
      </c>
      <c r="BUO84" s="34" t="s">
        <v>261</v>
      </c>
      <c r="BUP84" s="34" t="s">
        <v>261</v>
      </c>
      <c r="BUQ84" s="34" t="s">
        <v>261</v>
      </c>
      <c r="BUR84" s="34" t="s">
        <v>261</v>
      </c>
      <c r="BUS84" s="34" t="s">
        <v>261</v>
      </c>
    </row>
    <row r="85" spans="1901:1917">
      <c r="BUC85" s="23" t="s">
        <v>257</v>
      </c>
      <c r="BUD85" s="23" t="str">
        <f t="shared" ca="1" si="41"/>
        <v>#REF</v>
      </c>
      <c r="BUE85" s="23" t="e">
        <f ca="1" xml:space="preserve"> _xlfn.SHEET(#REF!)</f>
        <v>#REF!</v>
      </c>
      <c r="BUG85" s="23" t="e">
        <f>#REF!</f>
        <v>#REF!</v>
      </c>
      <c r="BUH85" s="35">
        <f>BUH68-0.23</f>
        <v>0.77</v>
      </c>
      <c r="BUI85" s="35">
        <f t="shared" ref="BUI85:BUS85" si="56">BUI68+0.22</f>
        <v>2.2200000000000002</v>
      </c>
      <c r="BUJ85" s="35">
        <f t="shared" si="56"/>
        <v>3.22</v>
      </c>
      <c r="BUK85" s="35">
        <f t="shared" si="56"/>
        <v>4.22</v>
      </c>
      <c r="BUL85" s="35">
        <f t="shared" si="56"/>
        <v>5.22</v>
      </c>
      <c r="BUM85" s="35">
        <f t="shared" si="56"/>
        <v>6.22</v>
      </c>
      <c r="BUN85" s="35">
        <f t="shared" si="56"/>
        <v>7.22</v>
      </c>
      <c r="BUO85" s="35">
        <f t="shared" si="56"/>
        <v>8.2200000000000006</v>
      </c>
      <c r="BUP85" s="35">
        <f t="shared" si="56"/>
        <v>9.2200000000000006</v>
      </c>
      <c r="BUQ85" s="35">
        <f t="shared" si="56"/>
        <v>10.220000000000001</v>
      </c>
      <c r="BUR85" s="35">
        <f t="shared" si="56"/>
        <v>11.22</v>
      </c>
      <c r="BUS85" s="35">
        <f t="shared" si="56"/>
        <v>12.22</v>
      </c>
    </row>
    <row r="86" spans="1901:1917">
      <c r="BUC86" s="23" t="s">
        <v>257</v>
      </c>
      <c r="BUD86" s="23" t="str">
        <f t="shared" ca="1" si="41"/>
        <v>#REF</v>
      </c>
      <c r="BUE86" s="23" t="e">
        <f ca="1" xml:space="preserve"> _xlfn.SHEET(#REF!)</f>
        <v>#REF!</v>
      </c>
      <c r="BUG86" s="23" t="e">
        <f>#REF!</f>
        <v>#REF!</v>
      </c>
      <c r="BUH86" s="35">
        <v>0</v>
      </c>
      <c r="BUI86" s="35">
        <v>0</v>
      </c>
      <c r="BUJ86" s="35">
        <v>0</v>
      </c>
      <c r="BUK86" s="35">
        <v>0</v>
      </c>
      <c r="BUL86" s="35">
        <v>0</v>
      </c>
      <c r="BUM86" s="35">
        <v>0</v>
      </c>
      <c r="BUN86" s="35">
        <v>0</v>
      </c>
      <c r="BUO86" s="35">
        <v>0</v>
      </c>
      <c r="BUP86" s="35">
        <v>0</v>
      </c>
      <c r="BUQ86" s="35">
        <v>0</v>
      </c>
      <c r="BUR86" s="35">
        <v>0</v>
      </c>
      <c r="BUS86" s="35">
        <v>0</v>
      </c>
    </row>
    <row r="87" spans="1901:1917">
      <c r="BUC87" s="23" t="s">
        <v>257</v>
      </c>
      <c r="BUD87" s="23" t="str">
        <f t="shared" ca="1" si="41"/>
        <v>#REF</v>
      </c>
      <c r="BUE87" s="23" t="e">
        <f ca="1" xml:space="preserve"> _xlfn.SHEET(#REF!)</f>
        <v>#REF!</v>
      </c>
      <c r="BUG87" s="23" t="e">
        <f>#REF!</f>
        <v>#REF!</v>
      </c>
      <c r="BUH87" s="36" t="s">
        <v>262</v>
      </c>
      <c r="BUI87" s="36" t="s">
        <v>262</v>
      </c>
      <c r="BUJ87" s="36" t="s">
        <v>262</v>
      </c>
      <c r="BUK87" s="36" t="s">
        <v>262</v>
      </c>
      <c r="BUL87" s="36" t="s">
        <v>262</v>
      </c>
      <c r="BUM87" s="36" t="s">
        <v>262</v>
      </c>
      <c r="BUN87" s="36" t="s">
        <v>262</v>
      </c>
      <c r="BUO87" s="36" t="s">
        <v>262</v>
      </c>
      <c r="BUP87" s="36" t="s">
        <v>262</v>
      </c>
      <c r="BUQ87" s="36" t="s">
        <v>262</v>
      </c>
      <c r="BUR87" s="36" t="s">
        <v>262</v>
      </c>
      <c r="BUS87" s="36" t="s">
        <v>262</v>
      </c>
    </row>
    <row r="88" spans="1901:1917">
      <c r="BUC88" s="23" t="s">
        <v>257</v>
      </c>
      <c r="BUD88" s="23" t="str">
        <f t="shared" ca="1" si="41"/>
        <v>#REF</v>
      </c>
      <c r="BUE88" s="23" t="e">
        <f ca="1" xml:space="preserve"> _xlfn.SHEET(#REF!)</f>
        <v>#REF!</v>
      </c>
      <c r="BUG88" s="23" t="e">
        <f>#REF!</f>
        <v>#REF!</v>
      </c>
      <c r="BUH88" s="36" t="str">
        <f>CONCATENATE(BUH87," ",BUH89)</f>
        <v>Var 1</v>
      </c>
      <c r="BUI88" s="36" t="str">
        <f t="shared" ref="BUI88:BUS88" si="57">CONCATENATE(BUI87," ",BUI89)</f>
        <v>Var 2</v>
      </c>
      <c r="BUJ88" s="36" t="str">
        <f t="shared" si="57"/>
        <v>Var 3</v>
      </c>
      <c r="BUK88" s="36" t="str">
        <f t="shared" si="57"/>
        <v>Var 4</v>
      </c>
      <c r="BUL88" s="36" t="str">
        <f t="shared" si="57"/>
        <v>Var 5</v>
      </c>
      <c r="BUM88" s="36" t="str">
        <f t="shared" si="57"/>
        <v>Var 6</v>
      </c>
      <c r="BUN88" s="36" t="str">
        <f t="shared" si="57"/>
        <v>Var 7</v>
      </c>
      <c r="BUO88" s="36" t="str">
        <f t="shared" si="57"/>
        <v>Var 8</v>
      </c>
      <c r="BUP88" s="36" t="str">
        <f t="shared" si="57"/>
        <v>Var 9</v>
      </c>
      <c r="BUQ88" s="36" t="str">
        <f t="shared" si="57"/>
        <v>Var 10</v>
      </c>
      <c r="BUR88" s="36" t="str">
        <f t="shared" si="57"/>
        <v>Var 11</v>
      </c>
      <c r="BUS88" s="36" t="str">
        <f t="shared" si="57"/>
        <v>Var 12</v>
      </c>
    </row>
    <row r="89" spans="1901:1917">
      <c r="BUC89" s="23" t="s">
        <v>257</v>
      </c>
      <c r="BUD89" s="23" t="str">
        <f t="shared" ca="1" si="41"/>
        <v>#REF</v>
      </c>
      <c r="BUE89" s="23" t="e">
        <f ca="1" xml:space="preserve"> _xlfn.SHEET(#REF!)</f>
        <v>#REF!</v>
      </c>
      <c r="BUG89" s="23" t="e">
        <f>#REF!</f>
        <v>#REF!</v>
      </c>
      <c r="BUH89" s="37">
        <f>BUH68</f>
        <v>1</v>
      </c>
      <c r="BUI89" s="37">
        <f t="shared" ref="BUI89:BUS89" si="58">BUI68</f>
        <v>2</v>
      </c>
      <c r="BUJ89" s="37">
        <f t="shared" si="58"/>
        <v>3</v>
      </c>
      <c r="BUK89" s="37">
        <f t="shared" si="58"/>
        <v>4</v>
      </c>
      <c r="BUL89" s="37">
        <f t="shared" si="58"/>
        <v>5</v>
      </c>
      <c r="BUM89" s="37">
        <f t="shared" si="58"/>
        <v>6</v>
      </c>
      <c r="BUN89" s="37">
        <f t="shared" si="58"/>
        <v>7</v>
      </c>
      <c r="BUO89" s="37">
        <f t="shared" si="58"/>
        <v>8</v>
      </c>
      <c r="BUP89" s="37">
        <f t="shared" si="58"/>
        <v>9</v>
      </c>
      <c r="BUQ89" s="37">
        <f t="shared" si="58"/>
        <v>10</v>
      </c>
      <c r="BUR89" s="37">
        <f t="shared" si="58"/>
        <v>11</v>
      </c>
      <c r="BUS89" s="37">
        <f t="shared" si="58"/>
        <v>12</v>
      </c>
    </row>
    <row r="90" spans="1901:1917">
      <c r="BUC90" s="23" t="s">
        <v>257</v>
      </c>
      <c r="BUD90" s="23" t="str">
        <f t="shared" ca="1" si="41"/>
        <v>#REF</v>
      </c>
      <c r="BUE90" s="23" t="e">
        <f ca="1" xml:space="preserve"> _xlfn.SHEET(#REF!)</f>
        <v>#REF!</v>
      </c>
      <c r="BUG90" s="23" t="e">
        <f>#REF!</f>
        <v>#REF!</v>
      </c>
      <c r="BUH90" s="38" t="e">
        <f t="shared" ref="BUH90:BUS90" si="59">MAX(BUH63:BUH64)</f>
        <v>#REF!</v>
      </c>
      <c r="BUI90" s="38" t="e">
        <f t="shared" si="59"/>
        <v>#REF!</v>
      </c>
      <c r="BUJ90" s="38" t="e">
        <f t="shared" si="59"/>
        <v>#REF!</v>
      </c>
      <c r="BUK90" s="38" t="e">
        <f t="shared" si="59"/>
        <v>#REF!</v>
      </c>
      <c r="BUL90" s="38" t="e">
        <f t="shared" si="59"/>
        <v>#REF!</v>
      </c>
      <c r="BUM90" s="38" t="e">
        <f t="shared" si="59"/>
        <v>#REF!</v>
      </c>
      <c r="BUN90" s="38" t="e">
        <f t="shared" si="59"/>
        <v>#REF!</v>
      </c>
      <c r="BUO90" s="38" t="e">
        <f t="shared" si="59"/>
        <v>#REF!</v>
      </c>
      <c r="BUP90" s="38" t="e">
        <f t="shared" si="59"/>
        <v>#REF!</v>
      </c>
      <c r="BUQ90" s="38" t="e">
        <f t="shared" si="59"/>
        <v>#REF!</v>
      </c>
      <c r="BUR90" s="38" t="e">
        <f t="shared" si="59"/>
        <v>#REF!</v>
      </c>
      <c r="BUS90" s="38" t="e">
        <f t="shared" si="59"/>
        <v>#REF!</v>
      </c>
    </row>
    <row r="91" spans="1901:1917">
      <c r="BUC91" s="23" t="s">
        <v>257</v>
      </c>
      <c r="BUD91" s="23" t="str">
        <f t="shared" ca="1" si="41"/>
        <v>#REF</v>
      </c>
      <c r="BUE91" s="23" t="e">
        <f ca="1" xml:space="preserve"> _xlfn.SHEET(#REF!)</f>
        <v>#REF!</v>
      </c>
      <c r="BUG91" s="23" t="e">
        <f>#REF!</f>
        <v>#REF!</v>
      </c>
      <c r="BUH91" s="39" t="e">
        <f t="shared" ref="BUH91:BUS91" si="60">IF(BUH64-BUH63=0,"",BUH64-BUH63)</f>
        <v>#REF!</v>
      </c>
      <c r="BUI91" s="39" t="e">
        <f t="shared" si="60"/>
        <v>#REF!</v>
      </c>
      <c r="BUJ91" s="39" t="e">
        <f t="shared" si="60"/>
        <v>#REF!</v>
      </c>
      <c r="BUK91" s="39" t="e">
        <f t="shared" si="60"/>
        <v>#REF!</v>
      </c>
      <c r="BUL91" s="39" t="e">
        <f t="shared" si="60"/>
        <v>#REF!</v>
      </c>
      <c r="BUM91" s="39" t="e">
        <f t="shared" si="60"/>
        <v>#REF!</v>
      </c>
      <c r="BUN91" s="39" t="e">
        <f t="shared" si="60"/>
        <v>#REF!</v>
      </c>
      <c r="BUO91" s="39" t="e">
        <f t="shared" si="60"/>
        <v>#REF!</v>
      </c>
      <c r="BUP91" s="39" t="e">
        <f t="shared" si="60"/>
        <v>#REF!</v>
      </c>
      <c r="BUQ91" s="39" t="e">
        <f t="shared" si="60"/>
        <v>#REF!</v>
      </c>
      <c r="BUR91" s="39" t="e">
        <f t="shared" si="60"/>
        <v>#REF!</v>
      </c>
      <c r="BUS91" s="39" t="e">
        <f t="shared" si="60"/>
        <v>#REF!</v>
      </c>
    </row>
    <row r="92" spans="1901:1917">
      <c r="BUC92" s="23" t="s">
        <v>257</v>
      </c>
      <c r="BUD92" s="23" t="str">
        <f ca="1">SUBSTITUTE(MID(_xlfn.FORMULATEXT(BUG92),2,FIND("!",_xlfn.FORMULATEXT(BUG92),1)-2), "'","")</f>
        <v>calc</v>
      </c>
      <c r="BUE92" s="23">
        <f ca="1">_xlfn.SHEET( calc!$NTP$1000000)</f>
        <v>4</v>
      </c>
      <c r="BUG92" s="23">
        <f>calc!$NTP$1000000</f>
        <v>0</v>
      </c>
    </row>
    <row r="93" spans="1901:1917">
      <c r="BUC93" s="23" t="s">
        <v>257</v>
      </c>
      <c r="BUD93" s="23" t="str">
        <f t="shared" ref="BUD93:BUD121" ca="1" si="61">SUBSTITUTE(MID(_xlfn.FORMULATEXT(BUG93),2,FIND("!",_xlfn.FORMULATEXT(BUG93),1)-2), "'","")</f>
        <v>calc</v>
      </c>
      <c r="BUE93" s="23">
        <f ca="1">_xlfn.SHEET( calc!$NTP$1000000)</f>
        <v>4</v>
      </c>
      <c r="BUG93" s="23">
        <f>calc!$NTP$1000000</f>
        <v>0</v>
      </c>
      <c r="BUH93" s="23">
        <f>calc!$T$5</f>
        <v>4501</v>
      </c>
      <c r="BUI93" s="23">
        <f>calc!$U$5</f>
        <v>4800</v>
      </c>
      <c r="BUJ93" s="23">
        <f>calc!$V$5</f>
        <v>4300</v>
      </c>
      <c r="BUK93" s="23">
        <f>calc!$W$5</f>
        <v>5100</v>
      </c>
      <c r="BUL93" s="23">
        <f>calc!$X$5</f>
        <v>4800</v>
      </c>
      <c r="BUM93" s="23">
        <f>calc!$Y$5</f>
        <v>5200</v>
      </c>
      <c r="BUN93" s="23">
        <f>calc!$Z$5</f>
        <v>5100</v>
      </c>
      <c r="BUO93" s="23">
        <f>calc!$AA$5</f>
        <v>4100</v>
      </c>
      <c r="BUP93" s="23">
        <f>calc!$AB$5</f>
        <v>5200</v>
      </c>
      <c r="BUQ93" s="23">
        <f>calc!$AC$5</f>
        <v>5184</v>
      </c>
      <c r="BUR93" s="23">
        <f>calc!$AD$5</f>
        <v>4800</v>
      </c>
      <c r="BUS93" s="23">
        <f>calc!$AE$5</f>
        <v>4625</v>
      </c>
    </row>
    <row r="94" spans="1901:1917">
      <c r="BUC94" s="23" t="s">
        <v>257</v>
      </c>
      <c r="BUD94" s="23" t="str">
        <f t="shared" ca="1" si="61"/>
        <v>calc</v>
      </c>
      <c r="BUE94" s="23">
        <f ca="1">_xlfn.SHEET( calc!$NTP$1000000)</f>
        <v>4</v>
      </c>
      <c r="BUG94" s="23">
        <f>calc!$NTP$1000000</f>
        <v>0</v>
      </c>
      <c r="BUH94" s="23">
        <f>calc!$T$6</f>
        <v>3001</v>
      </c>
      <c r="BUI94" s="23">
        <f>calc!$U$6</f>
        <v>3059</v>
      </c>
      <c r="BUJ94" s="23">
        <f>calc!$V$6</f>
        <v>3040</v>
      </c>
      <c r="BUK94" s="23">
        <f>calc!$W$6</f>
        <v>2974</v>
      </c>
      <c r="BUL94" s="23">
        <f>calc!$X$6</f>
        <v>2979</v>
      </c>
      <c r="BUM94" s="23">
        <f>calc!$Y$6</f>
        <v>2993</v>
      </c>
      <c r="BUN94" s="23">
        <f>calc!$Z$6</f>
        <v>3020</v>
      </c>
      <c r="BUO94" s="23">
        <f>calc!$AA$6</f>
        <v>3087</v>
      </c>
      <c r="BUP94" s="23">
        <f>calc!$AB$6</f>
        <v>3264</v>
      </c>
      <c r="BUQ94" s="23">
        <f>calc!$AC$6</f>
        <v>2939</v>
      </c>
      <c r="BUR94" s="23">
        <f>calc!$AD$6</f>
        <v>2794</v>
      </c>
      <c r="BUS94" s="23">
        <f>calc!$AE$6</f>
        <v>2668</v>
      </c>
    </row>
    <row r="95" spans="1901:1917">
      <c r="BUC95" s="23" t="s">
        <v>257</v>
      </c>
      <c r="BUD95" s="23" t="str">
        <f t="shared" ca="1" si="61"/>
        <v>calc</v>
      </c>
      <c r="BUE95" s="23">
        <f ca="1">_xlfn.SHEET( calc!$NTP$1000000)</f>
        <v>4</v>
      </c>
      <c r="BUG95" s="23">
        <f>calc!$NTP$1000000</f>
        <v>0</v>
      </c>
      <c r="BUH95" s="27" t="s">
        <v>258</v>
      </c>
    </row>
    <row r="96" spans="1901:1917">
      <c r="BUC96" s="23" t="s">
        <v>257</v>
      </c>
      <c r="BUD96" s="23" t="str">
        <f t="shared" ca="1" si="61"/>
        <v>calc</v>
      </c>
      <c r="BUE96" s="23">
        <f ca="1">_xlfn.SHEET( calc!$NTP$1000000)</f>
        <v>4</v>
      </c>
      <c r="BUG96" s="23">
        <f>calc!$NTP$1000000</f>
        <v>0</v>
      </c>
      <c r="BUH96" s="28" t="s">
        <v>76</v>
      </c>
      <c r="BUI96" s="28" t="s">
        <v>76</v>
      </c>
      <c r="BUJ96" s="28" t="s">
        <v>76</v>
      </c>
      <c r="BUK96" s="28" t="s">
        <v>76</v>
      </c>
      <c r="BUL96" s="28" t="s">
        <v>76</v>
      </c>
      <c r="BUM96" s="28" t="s">
        <v>76</v>
      </c>
      <c r="BUN96" s="28" t="s">
        <v>76</v>
      </c>
      <c r="BUO96" s="28" t="s">
        <v>76</v>
      </c>
      <c r="BUP96" s="28" t="s">
        <v>76</v>
      </c>
      <c r="BUQ96" s="28" t="s">
        <v>76</v>
      </c>
      <c r="BUR96" s="28" t="s">
        <v>76</v>
      </c>
      <c r="BUS96" s="28" t="s">
        <v>76</v>
      </c>
    </row>
    <row r="97" spans="1901:1917">
      <c r="BUC97" s="23" t="s">
        <v>257</v>
      </c>
      <c r="BUD97" s="23" t="str">
        <f t="shared" ca="1" si="61"/>
        <v>calc</v>
      </c>
      <c r="BUE97" s="23">
        <f ca="1">_xlfn.SHEET( calc!$NTP$1000000)</f>
        <v>4</v>
      </c>
      <c r="BUG97" s="23">
        <f>calc!$NTP$1000000</f>
        <v>0</v>
      </c>
      <c r="BUH97" s="28" t="str">
        <f>CONCATENATE(BUH96," ",BUH98)</f>
        <v>Green 1</v>
      </c>
      <c r="BUI97" s="28" t="str">
        <f t="shared" ref="BUI97:BUS97" si="62">CONCATENATE(BUI96," ",BUI98)</f>
        <v>Green 2</v>
      </c>
      <c r="BUJ97" s="28" t="str">
        <f t="shared" si="62"/>
        <v>Green 3</v>
      </c>
      <c r="BUK97" s="28" t="str">
        <f t="shared" si="62"/>
        <v>Green 4</v>
      </c>
      <c r="BUL97" s="28" t="str">
        <f t="shared" si="62"/>
        <v>Green 5</v>
      </c>
      <c r="BUM97" s="28" t="str">
        <f t="shared" si="62"/>
        <v>Green 6</v>
      </c>
      <c r="BUN97" s="28" t="str">
        <f t="shared" si="62"/>
        <v>Green 7</v>
      </c>
      <c r="BUO97" s="28" t="str">
        <f t="shared" si="62"/>
        <v>Green 8</v>
      </c>
      <c r="BUP97" s="28" t="str">
        <f t="shared" si="62"/>
        <v>Green 9</v>
      </c>
      <c r="BUQ97" s="28" t="str">
        <f t="shared" si="62"/>
        <v>Green 10</v>
      </c>
      <c r="BUR97" s="28" t="str">
        <f t="shared" si="62"/>
        <v>Green 11</v>
      </c>
      <c r="BUS97" s="28" t="str">
        <f t="shared" si="62"/>
        <v>Green 12</v>
      </c>
    </row>
    <row r="98" spans="1901:1917">
      <c r="BUC98" s="23" t="s">
        <v>257</v>
      </c>
      <c r="BUD98" s="23" t="str">
        <f t="shared" ca="1" si="61"/>
        <v>calc</v>
      </c>
      <c r="BUE98" s="23">
        <f ca="1">_xlfn.SHEET( calc!$NTP$1000000)</f>
        <v>4</v>
      </c>
      <c r="BUG98" s="23">
        <f>calc!$NTP$1000000</f>
        <v>0</v>
      </c>
      <c r="BUH98" s="29">
        <v>1</v>
      </c>
      <c r="BUI98" s="29">
        <f t="shared" ref="BUI98:BUS98" si="63">BUH98+1</f>
        <v>2</v>
      </c>
      <c r="BUJ98" s="29">
        <f t="shared" si="63"/>
        <v>3</v>
      </c>
      <c r="BUK98" s="29">
        <f t="shared" si="63"/>
        <v>4</v>
      </c>
      <c r="BUL98" s="29">
        <f t="shared" si="63"/>
        <v>5</v>
      </c>
      <c r="BUM98" s="29">
        <f t="shared" si="63"/>
        <v>6</v>
      </c>
      <c r="BUN98" s="29">
        <f t="shared" si="63"/>
        <v>7</v>
      </c>
      <c r="BUO98" s="29">
        <f t="shared" si="63"/>
        <v>8</v>
      </c>
      <c r="BUP98" s="29">
        <f t="shared" si="63"/>
        <v>9</v>
      </c>
      <c r="BUQ98" s="29">
        <f t="shared" si="63"/>
        <v>10</v>
      </c>
      <c r="BUR98" s="29">
        <f t="shared" si="63"/>
        <v>11</v>
      </c>
      <c r="BUS98" s="29">
        <f t="shared" si="63"/>
        <v>12</v>
      </c>
    </row>
    <row r="99" spans="1901:1917">
      <c r="BUC99" s="23" t="s">
        <v>257</v>
      </c>
      <c r="BUD99" s="23" t="str">
        <f t="shared" ca="1" si="61"/>
        <v>calc</v>
      </c>
      <c r="BUE99" s="23">
        <f ca="1">_xlfn.SHEET( calc!$NTP$1000000)</f>
        <v>4</v>
      </c>
      <c r="BUG99" s="23">
        <f>calc!$NTP$1000000</f>
        <v>0</v>
      </c>
      <c r="BUH99" s="29">
        <f>BUH98</f>
        <v>1</v>
      </c>
      <c r="BUI99" s="29">
        <f t="shared" ref="BUI99:BUS99" si="64">BUI98</f>
        <v>2</v>
      </c>
      <c r="BUJ99" s="29">
        <f t="shared" si="64"/>
        <v>3</v>
      </c>
      <c r="BUK99" s="29">
        <f t="shared" si="64"/>
        <v>4</v>
      </c>
      <c r="BUL99" s="29">
        <f t="shared" si="64"/>
        <v>5</v>
      </c>
      <c r="BUM99" s="29">
        <f t="shared" si="64"/>
        <v>6</v>
      </c>
      <c r="BUN99" s="29">
        <f t="shared" si="64"/>
        <v>7</v>
      </c>
      <c r="BUO99" s="29">
        <f t="shared" si="64"/>
        <v>8</v>
      </c>
      <c r="BUP99" s="29">
        <f t="shared" si="64"/>
        <v>9</v>
      </c>
      <c r="BUQ99" s="29">
        <f t="shared" si="64"/>
        <v>10</v>
      </c>
      <c r="BUR99" s="29">
        <f t="shared" si="64"/>
        <v>11</v>
      </c>
      <c r="BUS99" s="29">
        <f t="shared" si="64"/>
        <v>12</v>
      </c>
    </row>
    <row r="100" spans="1901:1917">
      <c r="BUC100" s="23" t="s">
        <v>257</v>
      </c>
      <c r="BUD100" s="23" t="str">
        <f t="shared" ca="1" si="61"/>
        <v>calc</v>
      </c>
      <c r="BUE100" s="23">
        <f ca="1">_xlfn.SHEET( calc!$NTP$1000000)</f>
        <v>4</v>
      </c>
      <c r="BUG100" s="23">
        <f>calc!$NTP$1000000</f>
        <v>0</v>
      </c>
      <c r="BUH100" s="29">
        <f t="shared" ref="BUH100:BUS100" si="65">IF(BUH94&gt;BUH93,BUH93,0)</f>
        <v>0</v>
      </c>
      <c r="BUI100" s="29">
        <f t="shared" si="65"/>
        <v>0</v>
      </c>
      <c r="BUJ100" s="29">
        <f t="shared" si="65"/>
        <v>0</v>
      </c>
      <c r="BUK100" s="29">
        <f t="shared" si="65"/>
        <v>0</v>
      </c>
      <c r="BUL100" s="29">
        <f t="shared" si="65"/>
        <v>0</v>
      </c>
      <c r="BUM100" s="29">
        <f t="shared" si="65"/>
        <v>0</v>
      </c>
      <c r="BUN100" s="29">
        <f t="shared" si="65"/>
        <v>0</v>
      </c>
      <c r="BUO100" s="29">
        <f t="shared" si="65"/>
        <v>0</v>
      </c>
      <c r="BUP100" s="29">
        <f t="shared" si="65"/>
        <v>0</v>
      </c>
      <c r="BUQ100" s="29">
        <f t="shared" si="65"/>
        <v>0</v>
      </c>
      <c r="BUR100" s="29">
        <f t="shared" si="65"/>
        <v>0</v>
      </c>
      <c r="BUS100" s="29">
        <f t="shared" si="65"/>
        <v>0</v>
      </c>
    </row>
    <row r="101" spans="1901:1917">
      <c r="BUC101" s="23" t="s">
        <v>257</v>
      </c>
      <c r="BUD101" s="23" t="str">
        <f t="shared" ca="1" si="61"/>
        <v>calc</v>
      </c>
      <c r="BUE101" s="23">
        <f ca="1">_xlfn.SHEET( calc!$NTP$1000000)</f>
        <v>4</v>
      </c>
      <c r="BUG101" s="23">
        <f>calc!$NTP$1000000</f>
        <v>0</v>
      </c>
      <c r="BUH101" s="29">
        <f t="shared" ref="BUH101:BUS101" si="66">IF(BUH94&gt;BUH93,BUH94,0)</f>
        <v>0</v>
      </c>
      <c r="BUI101" s="29">
        <f t="shared" si="66"/>
        <v>0</v>
      </c>
      <c r="BUJ101" s="29">
        <f t="shared" si="66"/>
        <v>0</v>
      </c>
      <c r="BUK101" s="29">
        <f t="shared" si="66"/>
        <v>0</v>
      </c>
      <c r="BUL101" s="29">
        <f t="shared" si="66"/>
        <v>0</v>
      </c>
      <c r="BUM101" s="29">
        <f t="shared" si="66"/>
        <v>0</v>
      </c>
      <c r="BUN101" s="29">
        <f t="shared" si="66"/>
        <v>0</v>
      </c>
      <c r="BUO101" s="29">
        <f t="shared" si="66"/>
        <v>0</v>
      </c>
      <c r="BUP101" s="29">
        <f t="shared" si="66"/>
        <v>0</v>
      </c>
      <c r="BUQ101" s="29">
        <f t="shared" si="66"/>
        <v>0</v>
      </c>
      <c r="BUR101" s="29">
        <f t="shared" si="66"/>
        <v>0</v>
      </c>
      <c r="BUS101" s="29">
        <f t="shared" si="66"/>
        <v>0</v>
      </c>
    </row>
    <row r="102" spans="1901:1917">
      <c r="BUC102" s="23" t="s">
        <v>257</v>
      </c>
      <c r="BUD102" s="23" t="str">
        <f t="shared" ca="1" si="61"/>
        <v>calc</v>
      </c>
      <c r="BUE102" s="23">
        <f ca="1">_xlfn.SHEET( calc!$NTP$1000000)</f>
        <v>4</v>
      </c>
      <c r="BUG102" s="23">
        <f>calc!$NTP$1000000</f>
        <v>0</v>
      </c>
      <c r="BUH102" s="30" t="s">
        <v>259</v>
      </c>
      <c r="BUI102" s="30" t="s">
        <v>259</v>
      </c>
      <c r="BUJ102" s="30" t="s">
        <v>259</v>
      </c>
      <c r="BUK102" s="30" t="s">
        <v>259</v>
      </c>
      <c r="BUL102" s="30" t="s">
        <v>259</v>
      </c>
      <c r="BUM102" s="30" t="s">
        <v>259</v>
      </c>
      <c r="BUN102" s="30" t="s">
        <v>259</v>
      </c>
      <c r="BUO102" s="30" t="s">
        <v>259</v>
      </c>
      <c r="BUP102" s="30" t="s">
        <v>259</v>
      </c>
      <c r="BUQ102" s="30" t="s">
        <v>259</v>
      </c>
      <c r="BUR102" s="30" t="s">
        <v>259</v>
      </c>
      <c r="BUS102" s="30" t="s">
        <v>259</v>
      </c>
    </row>
    <row r="103" spans="1901:1917">
      <c r="BUC103" s="23" t="s">
        <v>257</v>
      </c>
      <c r="BUD103" s="23" t="str">
        <f t="shared" ca="1" si="61"/>
        <v>calc</v>
      </c>
      <c r="BUE103" s="23">
        <f ca="1">_xlfn.SHEET( calc!$NTP$1000000)</f>
        <v>4</v>
      </c>
      <c r="BUG103" s="23">
        <f>calc!$NTP$1000000</f>
        <v>0</v>
      </c>
      <c r="BUH103" s="30" t="str">
        <f>CONCATENATE(BUH102," ",BUH104)</f>
        <v>Red 1</v>
      </c>
      <c r="BUI103" s="30" t="str">
        <f t="shared" ref="BUI103:BUS103" si="67">CONCATENATE(BUI102," ",BUI104)</f>
        <v>Red 2</v>
      </c>
      <c r="BUJ103" s="30" t="str">
        <f t="shared" si="67"/>
        <v>Red 3</v>
      </c>
      <c r="BUK103" s="30" t="str">
        <f t="shared" si="67"/>
        <v>Red 4</v>
      </c>
      <c r="BUL103" s="30" t="str">
        <f t="shared" si="67"/>
        <v>Red 5</v>
      </c>
      <c r="BUM103" s="30" t="str">
        <f t="shared" si="67"/>
        <v>Red 6</v>
      </c>
      <c r="BUN103" s="30" t="str">
        <f t="shared" si="67"/>
        <v>Red 7</v>
      </c>
      <c r="BUO103" s="30" t="str">
        <f t="shared" si="67"/>
        <v>Red 8</v>
      </c>
      <c r="BUP103" s="30" t="str">
        <f t="shared" si="67"/>
        <v>Red 9</v>
      </c>
      <c r="BUQ103" s="30" t="str">
        <f t="shared" si="67"/>
        <v>Red 10</v>
      </c>
      <c r="BUR103" s="30" t="str">
        <f t="shared" si="67"/>
        <v>Red 11</v>
      </c>
      <c r="BUS103" s="30" t="str">
        <f t="shared" si="67"/>
        <v>Red 12</v>
      </c>
    </row>
    <row r="104" spans="1901:1917">
      <c r="BUC104" s="23" t="s">
        <v>257</v>
      </c>
      <c r="BUD104" s="23" t="str">
        <f t="shared" ca="1" si="61"/>
        <v>calc</v>
      </c>
      <c r="BUE104" s="23">
        <f ca="1">_xlfn.SHEET( calc!$NTP$1000000)</f>
        <v>4</v>
      </c>
      <c r="BUG104" s="23">
        <f>calc!$NTP$1000000</f>
        <v>0</v>
      </c>
      <c r="BUH104" s="31">
        <f>BUH98</f>
        <v>1</v>
      </c>
      <c r="BUI104" s="31">
        <f t="shared" ref="BUI104:BUS104" si="68">BUI98</f>
        <v>2</v>
      </c>
      <c r="BUJ104" s="31">
        <f t="shared" si="68"/>
        <v>3</v>
      </c>
      <c r="BUK104" s="31">
        <f t="shared" si="68"/>
        <v>4</v>
      </c>
      <c r="BUL104" s="31">
        <f t="shared" si="68"/>
        <v>5</v>
      </c>
      <c r="BUM104" s="31">
        <f t="shared" si="68"/>
        <v>6</v>
      </c>
      <c r="BUN104" s="31">
        <f t="shared" si="68"/>
        <v>7</v>
      </c>
      <c r="BUO104" s="31">
        <f t="shared" si="68"/>
        <v>8</v>
      </c>
      <c r="BUP104" s="31">
        <f t="shared" si="68"/>
        <v>9</v>
      </c>
      <c r="BUQ104" s="31">
        <f t="shared" si="68"/>
        <v>10</v>
      </c>
      <c r="BUR104" s="31">
        <f t="shared" si="68"/>
        <v>11</v>
      </c>
      <c r="BUS104" s="31">
        <f t="shared" si="68"/>
        <v>12</v>
      </c>
    </row>
    <row r="105" spans="1901:1917">
      <c r="BUC105" s="23" t="s">
        <v>257</v>
      </c>
      <c r="BUD105" s="23" t="str">
        <f t="shared" ca="1" si="61"/>
        <v>calc</v>
      </c>
      <c r="BUE105" s="23">
        <f ca="1">_xlfn.SHEET( calc!$NTP$1000000)</f>
        <v>4</v>
      </c>
      <c r="BUG105" s="23">
        <f>calc!$NTP$1000000</f>
        <v>0</v>
      </c>
      <c r="BUH105" s="31">
        <f>BUH98</f>
        <v>1</v>
      </c>
      <c r="BUI105" s="31">
        <f t="shared" ref="BUI105:BUS105" si="69">BUI98</f>
        <v>2</v>
      </c>
      <c r="BUJ105" s="31">
        <f t="shared" si="69"/>
        <v>3</v>
      </c>
      <c r="BUK105" s="31">
        <f t="shared" si="69"/>
        <v>4</v>
      </c>
      <c r="BUL105" s="31">
        <f t="shared" si="69"/>
        <v>5</v>
      </c>
      <c r="BUM105" s="31">
        <f t="shared" si="69"/>
        <v>6</v>
      </c>
      <c r="BUN105" s="31">
        <f t="shared" si="69"/>
        <v>7</v>
      </c>
      <c r="BUO105" s="31">
        <f t="shared" si="69"/>
        <v>8</v>
      </c>
      <c r="BUP105" s="31">
        <f t="shared" si="69"/>
        <v>9</v>
      </c>
      <c r="BUQ105" s="31">
        <f t="shared" si="69"/>
        <v>10</v>
      </c>
      <c r="BUR105" s="31">
        <f t="shared" si="69"/>
        <v>11</v>
      </c>
      <c r="BUS105" s="31">
        <f t="shared" si="69"/>
        <v>12</v>
      </c>
    </row>
    <row r="106" spans="1901:1917">
      <c r="BUC106" s="23" t="s">
        <v>257</v>
      </c>
      <c r="BUD106" s="23" t="str">
        <f t="shared" ca="1" si="61"/>
        <v>calc</v>
      </c>
      <c r="BUE106" s="23">
        <f ca="1">_xlfn.SHEET( calc!$NTP$1000000)</f>
        <v>4</v>
      </c>
      <c r="BUG106" s="23">
        <f>calc!$NTP$1000000</f>
        <v>0</v>
      </c>
      <c r="BUH106" s="31">
        <f t="shared" ref="BUH106:BUS106" si="70">IF(BUH93&gt;BUH94,BUH93,0)</f>
        <v>4501</v>
      </c>
      <c r="BUI106" s="31">
        <f t="shared" si="70"/>
        <v>4800</v>
      </c>
      <c r="BUJ106" s="31">
        <f t="shared" si="70"/>
        <v>4300</v>
      </c>
      <c r="BUK106" s="31">
        <f t="shared" si="70"/>
        <v>5100</v>
      </c>
      <c r="BUL106" s="31">
        <f t="shared" si="70"/>
        <v>4800</v>
      </c>
      <c r="BUM106" s="31">
        <f t="shared" si="70"/>
        <v>5200</v>
      </c>
      <c r="BUN106" s="31">
        <f t="shared" si="70"/>
        <v>5100</v>
      </c>
      <c r="BUO106" s="31">
        <f t="shared" si="70"/>
        <v>4100</v>
      </c>
      <c r="BUP106" s="31">
        <f t="shared" si="70"/>
        <v>5200</v>
      </c>
      <c r="BUQ106" s="31">
        <f t="shared" si="70"/>
        <v>5184</v>
      </c>
      <c r="BUR106" s="31">
        <f t="shared" si="70"/>
        <v>4800</v>
      </c>
      <c r="BUS106" s="31">
        <f t="shared" si="70"/>
        <v>4625</v>
      </c>
    </row>
    <row r="107" spans="1901:1917">
      <c r="BUC107" s="23" t="s">
        <v>257</v>
      </c>
      <c r="BUD107" s="23" t="str">
        <f t="shared" ca="1" si="61"/>
        <v>calc</v>
      </c>
      <c r="BUE107" s="23">
        <f ca="1">_xlfn.SHEET( calc!$NTP$1000000)</f>
        <v>4</v>
      </c>
      <c r="BUG107" s="23">
        <f>calc!$NTP$1000000</f>
        <v>0</v>
      </c>
      <c r="BUH107" s="31">
        <f t="shared" ref="BUH107:BUS107" si="71">IF(BUH93&gt;BUH94,BUH94,0)</f>
        <v>3001</v>
      </c>
      <c r="BUI107" s="31">
        <f t="shared" si="71"/>
        <v>3059</v>
      </c>
      <c r="BUJ107" s="31">
        <f t="shared" si="71"/>
        <v>3040</v>
      </c>
      <c r="BUK107" s="31">
        <f t="shared" si="71"/>
        <v>2974</v>
      </c>
      <c r="BUL107" s="31">
        <f t="shared" si="71"/>
        <v>2979</v>
      </c>
      <c r="BUM107" s="31">
        <f t="shared" si="71"/>
        <v>2993</v>
      </c>
      <c r="BUN107" s="31">
        <f t="shared" si="71"/>
        <v>3020</v>
      </c>
      <c r="BUO107" s="31">
        <f t="shared" si="71"/>
        <v>3087</v>
      </c>
      <c r="BUP107" s="31">
        <f t="shared" si="71"/>
        <v>3264</v>
      </c>
      <c r="BUQ107" s="31">
        <f t="shared" si="71"/>
        <v>2939</v>
      </c>
      <c r="BUR107" s="31">
        <f t="shared" si="71"/>
        <v>2794</v>
      </c>
      <c r="BUS107" s="31">
        <f t="shared" si="71"/>
        <v>2668</v>
      </c>
    </row>
    <row r="108" spans="1901:1917">
      <c r="BUC108" s="23" t="s">
        <v>257</v>
      </c>
      <c r="BUD108" s="23" t="str">
        <f t="shared" ca="1" si="61"/>
        <v>calc</v>
      </c>
      <c r="BUE108" s="23">
        <f ca="1">_xlfn.SHEET( calc!$NTP$1000000)</f>
        <v>4</v>
      </c>
      <c r="BUG108" s="23">
        <f>calc!$NTP$1000000</f>
        <v>0</v>
      </c>
      <c r="BUH108" s="32" t="s">
        <v>260</v>
      </c>
      <c r="BUI108" s="32" t="s">
        <v>260</v>
      </c>
      <c r="BUJ108" s="32" t="s">
        <v>260</v>
      </c>
      <c r="BUK108" s="32" t="s">
        <v>260</v>
      </c>
      <c r="BUL108" s="32" t="s">
        <v>260</v>
      </c>
      <c r="BUM108" s="32" t="s">
        <v>260</v>
      </c>
      <c r="BUN108" s="32" t="s">
        <v>260</v>
      </c>
      <c r="BUO108" s="32" t="s">
        <v>260</v>
      </c>
      <c r="BUP108" s="32" t="s">
        <v>260</v>
      </c>
      <c r="BUQ108" s="32" t="s">
        <v>260</v>
      </c>
      <c r="BUR108" s="32" t="s">
        <v>260</v>
      </c>
      <c r="BUS108" s="32" t="s">
        <v>260</v>
      </c>
    </row>
    <row r="109" spans="1901:1917">
      <c r="BUC109" s="23" t="s">
        <v>257</v>
      </c>
      <c r="BUD109" s="23" t="str">
        <f t="shared" ca="1" si="61"/>
        <v>calc</v>
      </c>
      <c r="BUE109" s="23">
        <f ca="1">_xlfn.SHEET( calc!$NTP$1000000)</f>
        <v>4</v>
      </c>
      <c r="BUG109" s="23">
        <f>calc!$NTP$1000000</f>
        <v>0</v>
      </c>
      <c r="BUH109" s="32" t="str">
        <f>CONCATENATE(BUH108," ",BUH98)</f>
        <v>Actual 1</v>
      </c>
      <c r="BUI109" s="32" t="str">
        <f t="shared" ref="BUI109:BUS109" si="72">CONCATENATE(BUI108," ",BUI98)</f>
        <v>Actual 2</v>
      </c>
      <c r="BUJ109" s="32" t="str">
        <f t="shared" si="72"/>
        <v>Actual 3</v>
      </c>
      <c r="BUK109" s="32" t="str">
        <f t="shared" si="72"/>
        <v>Actual 4</v>
      </c>
      <c r="BUL109" s="32" t="str">
        <f t="shared" si="72"/>
        <v>Actual 5</v>
      </c>
      <c r="BUM109" s="32" t="str">
        <f t="shared" si="72"/>
        <v>Actual 6</v>
      </c>
      <c r="BUN109" s="32" t="str">
        <f t="shared" si="72"/>
        <v>Actual 7</v>
      </c>
      <c r="BUO109" s="32" t="str">
        <f t="shared" si="72"/>
        <v>Actual 8</v>
      </c>
      <c r="BUP109" s="32" t="str">
        <f t="shared" si="72"/>
        <v>Actual 9</v>
      </c>
      <c r="BUQ109" s="32" t="str">
        <f t="shared" si="72"/>
        <v>Actual 10</v>
      </c>
      <c r="BUR109" s="32" t="str">
        <f t="shared" si="72"/>
        <v>Actual 11</v>
      </c>
      <c r="BUS109" s="32" t="str">
        <f t="shared" si="72"/>
        <v>Actual 12</v>
      </c>
    </row>
    <row r="110" spans="1901:1917">
      <c r="BUC110" s="23" t="s">
        <v>257</v>
      </c>
      <c r="BUD110" s="23" t="str">
        <f t="shared" ca="1" si="61"/>
        <v>calc</v>
      </c>
      <c r="BUE110" s="23">
        <f ca="1">_xlfn.SHEET( calc!$NTP$1000000)</f>
        <v>4</v>
      </c>
      <c r="BUG110" s="23">
        <f>calc!$NTP$1000000</f>
        <v>0</v>
      </c>
      <c r="BUH110" s="33">
        <f>BUH98-0.25</f>
        <v>0.75</v>
      </c>
      <c r="BUI110" s="33">
        <f t="shared" ref="BUI110:BUS110" si="73">BUI98-0.25</f>
        <v>1.75</v>
      </c>
      <c r="BUJ110" s="33">
        <f t="shared" si="73"/>
        <v>2.75</v>
      </c>
      <c r="BUK110" s="33">
        <f t="shared" si="73"/>
        <v>3.75</v>
      </c>
      <c r="BUL110" s="33">
        <f t="shared" si="73"/>
        <v>4.75</v>
      </c>
      <c r="BUM110" s="33">
        <f t="shared" si="73"/>
        <v>5.75</v>
      </c>
      <c r="BUN110" s="33">
        <f t="shared" si="73"/>
        <v>6.75</v>
      </c>
      <c r="BUO110" s="33">
        <f t="shared" si="73"/>
        <v>7.75</v>
      </c>
      <c r="BUP110" s="33">
        <f t="shared" si="73"/>
        <v>8.75</v>
      </c>
      <c r="BUQ110" s="33">
        <f t="shared" si="73"/>
        <v>9.75</v>
      </c>
      <c r="BUR110" s="33">
        <f t="shared" si="73"/>
        <v>10.75</v>
      </c>
      <c r="BUS110" s="33">
        <f t="shared" si="73"/>
        <v>11.75</v>
      </c>
    </row>
    <row r="111" spans="1901:1917">
      <c r="BUC111" s="23" t="s">
        <v>257</v>
      </c>
      <c r="BUD111" s="23" t="str">
        <f t="shared" ca="1" si="61"/>
        <v>calc</v>
      </c>
      <c r="BUE111" s="23">
        <f ca="1">_xlfn.SHEET( calc!$NTP$1000000)</f>
        <v>4</v>
      </c>
      <c r="BUG111" s="23">
        <f>calc!$NTP$1000000</f>
        <v>0</v>
      </c>
      <c r="BUH111" s="33">
        <f>BUH98-0.25</f>
        <v>0.75</v>
      </c>
      <c r="BUI111" s="33">
        <f t="shared" ref="BUI111:BUS111" si="74">BUI98-0.25</f>
        <v>1.75</v>
      </c>
      <c r="BUJ111" s="33">
        <f t="shared" si="74"/>
        <v>2.75</v>
      </c>
      <c r="BUK111" s="33">
        <f t="shared" si="74"/>
        <v>3.75</v>
      </c>
      <c r="BUL111" s="33">
        <f t="shared" si="74"/>
        <v>4.75</v>
      </c>
      <c r="BUM111" s="33">
        <f t="shared" si="74"/>
        <v>5.75</v>
      </c>
      <c r="BUN111" s="33">
        <f t="shared" si="74"/>
        <v>6.75</v>
      </c>
      <c r="BUO111" s="33">
        <f t="shared" si="74"/>
        <v>7.75</v>
      </c>
      <c r="BUP111" s="33">
        <f t="shared" si="74"/>
        <v>8.75</v>
      </c>
      <c r="BUQ111" s="33">
        <f t="shared" si="74"/>
        <v>9.75</v>
      </c>
      <c r="BUR111" s="33">
        <f t="shared" si="74"/>
        <v>10.75</v>
      </c>
      <c r="BUS111" s="33">
        <f t="shared" si="74"/>
        <v>11.75</v>
      </c>
    </row>
    <row r="112" spans="1901:1917">
      <c r="BUC112" s="23" t="s">
        <v>257</v>
      </c>
      <c r="BUD112" s="23" t="str">
        <f t="shared" ca="1" si="61"/>
        <v>calc</v>
      </c>
      <c r="BUE112" s="23">
        <f ca="1">_xlfn.SHEET( calc!$NTP$1000000)</f>
        <v>4</v>
      </c>
      <c r="BUG112" s="23">
        <f>calc!$NTP$1000000</f>
        <v>0</v>
      </c>
      <c r="BUH112" s="33">
        <v>0</v>
      </c>
      <c r="BUI112" s="33">
        <v>0</v>
      </c>
      <c r="BUJ112" s="33">
        <v>0</v>
      </c>
      <c r="BUK112" s="33">
        <v>0</v>
      </c>
      <c r="BUL112" s="33">
        <v>0</v>
      </c>
      <c r="BUM112" s="33">
        <v>0</v>
      </c>
      <c r="BUN112" s="33">
        <v>0</v>
      </c>
      <c r="BUO112" s="33">
        <v>0</v>
      </c>
      <c r="BUP112" s="33">
        <v>0</v>
      </c>
      <c r="BUQ112" s="33">
        <v>0</v>
      </c>
      <c r="BUR112" s="33">
        <v>0</v>
      </c>
      <c r="BUS112" s="33">
        <v>0</v>
      </c>
    </row>
    <row r="113" spans="1901:1917">
      <c r="BUC113" s="23" t="s">
        <v>257</v>
      </c>
      <c r="BUD113" s="23" t="str">
        <f t="shared" ca="1" si="61"/>
        <v>calc</v>
      </c>
      <c r="BUE113" s="23">
        <f ca="1">_xlfn.SHEET( calc!$NTP$1000000)</f>
        <v>4</v>
      </c>
      <c r="BUG113" s="23">
        <f>calc!$NTP$1000000</f>
        <v>0</v>
      </c>
      <c r="BUH113" s="33">
        <f t="shared" ref="BUH113:BUS113" si="75">IF(BUH94=0,"",BUH94)</f>
        <v>3001</v>
      </c>
      <c r="BUI113" s="33">
        <f t="shared" si="75"/>
        <v>3059</v>
      </c>
      <c r="BUJ113" s="33">
        <f t="shared" si="75"/>
        <v>3040</v>
      </c>
      <c r="BUK113" s="33">
        <f t="shared" si="75"/>
        <v>2974</v>
      </c>
      <c r="BUL113" s="33">
        <f t="shared" si="75"/>
        <v>2979</v>
      </c>
      <c r="BUM113" s="33">
        <f t="shared" si="75"/>
        <v>2993</v>
      </c>
      <c r="BUN113" s="33">
        <f t="shared" si="75"/>
        <v>3020</v>
      </c>
      <c r="BUO113" s="33">
        <f t="shared" si="75"/>
        <v>3087</v>
      </c>
      <c r="BUP113" s="33">
        <f t="shared" si="75"/>
        <v>3264</v>
      </c>
      <c r="BUQ113" s="33">
        <f t="shared" si="75"/>
        <v>2939</v>
      </c>
      <c r="BUR113" s="33">
        <f t="shared" si="75"/>
        <v>2794</v>
      </c>
      <c r="BUS113" s="33">
        <f t="shared" si="75"/>
        <v>2668</v>
      </c>
    </row>
    <row r="114" spans="1901:1917">
      <c r="BUC114" s="23" t="s">
        <v>257</v>
      </c>
      <c r="BUD114" s="23" t="str">
        <f t="shared" ca="1" si="61"/>
        <v>calc</v>
      </c>
      <c r="BUE114" s="23">
        <f ca="1">_xlfn.SHEET( calc!$NTP$1000000)</f>
        <v>4</v>
      </c>
      <c r="BUG114" s="23">
        <f>calc!$NTP$1000000</f>
        <v>0</v>
      </c>
      <c r="BUH114" s="34" t="s">
        <v>261</v>
      </c>
      <c r="BUI114" s="34" t="s">
        <v>261</v>
      </c>
      <c r="BUJ114" s="34" t="s">
        <v>261</v>
      </c>
      <c r="BUK114" s="34" t="s">
        <v>261</v>
      </c>
      <c r="BUL114" s="34" t="s">
        <v>261</v>
      </c>
      <c r="BUM114" s="34" t="s">
        <v>261</v>
      </c>
      <c r="BUN114" s="34" t="s">
        <v>261</v>
      </c>
      <c r="BUO114" s="34" t="s">
        <v>261</v>
      </c>
      <c r="BUP114" s="34" t="s">
        <v>261</v>
      </c>
      <c r="BUQ114" s="34" t="s">
        <v>261</v>
      </c>
      <c r="BUR114" s="34" t="s">
        <v>261</v>
      </c>
      <c r="BUS114" s="34" t="s">
        <v>261</v>
      </c>
    </row>
    <row r="115" spans="1901:1917">
      <c r="BUC115" s="23" t="s">
        <v>257</v>
      </c>
      <c r="BUD115" s="23" t="str">
        <f t="shared" ca="1" si="61"/>
        <v>calc</v>
      </c>
      <c r="BUE115" s="23">
        <f ca="1">_xlfn.SHEET( calc!$NTP$1000000)</f>
        <v>4</v>
      </c>
      <c r="BUG115" s="23">
        <f>calc!$NTP$1000000</f>
        <v>0</v>
      </c>
      <c r="BUH115" s="35">
        <f>BUH98-0.23</f>
        <v>0.77</v>
      </c>
      <c r="BUI115" s="35">
        <f t="shared" ref="BUI115:BUS115" si="76">BUI98+0.22</f>
        <v>2.2200000000000002</v>
      </c>
      <c r="BUJ115" s="35">
        <f t="shared" si="76"/>
        <v>3.22</v>
      </c>
      <c r="BUK115" s="35">
        <f t="shared" si="76"/>
        <v>4.22</v>
      </c>
      <c r="BUL115" s="35">
        <f t="shared" si="76"/>
        <v>5.22</v>
      </c>
      <c r="BUM115" s="35">
        <f t="shared" si="76"/>
        <v>6.22</v>
      </c>
      <c r="BUN115" s="35">
        <f t="shared" si="76"/>
        <v>7.22</v>
      </c>
      <c r="BUO115" s="35">
        <f t="shared" si="76"/>
        <v>8.2200000000000006</v>
      </c>
      <c r="BUP115" s="35">
        <f t="shared" si="76"/>
        <v>9.2200000000000006</v>
      </c>
      <c r="BUQ115" s="35">
        <f t="shared" si="76"/>
        <v>10.220000000000001</v>
      </c>
      <c r="BUR115" s="35">
        <f t="shared" si="76"/>
        <v>11.22</v>
      </c>
      <c r="BUS115" s="35">
        <f t="shared" si="76"/>
        <v>12.22</v>
      </c>
    </row>
    <row r="116" spans="1901:1917">
      <c r="BUC116" s="23" t="s">
        <v>257</v>
      </c>
      <c r="BUD116" s="23" t="str">
        <f t="shared" ca="1" si="61"/>
        <v>calc</v>
      </c>
      <c r="BUE116" s="23">
        <f ca="1">_xlfn.SHEET( calc!$NTP$1000000)</f>
        <v>4</v>
      </c>
      <c r="BUG116" s="23">
        <f>calc!$NTP$1000000</f>
        <v>0</v>
      </c>
      <c r="BUH116" s="35">
        <v>0</v>
      </c>
      <c r="BUI116" s="35">
        <v>0</v>
      </c>
      <c r="BUJ116" s="35">
        <v>0</v>
      </c>
      <c r="BUK116" s="35">
        <v>0</v>
      </c>
      <c r="BUL116" s="35">
        <v>0</v>
      </c>
      <c r="BUM116" s="35">
        <v>0</v>
      </c>
      <c r="BUN116" s="35">
        <v>0</v>
      </c>
      <c r="BUO116" s="35">
        <v>0</v>
      </c>
      <c r="BUP116" s="35">
        <v>0</v>
      </c>
      <c r="BUQ116" s="35">
        <v>0</v>
      </c>
      <c r="BUR116" s="35">
        <v>0</v>
      </c>
      <c r="BUS116" s="35">
        <v>0</v>
      </c>
    </row>
    <row r="117" spans="1901:1917">
      <c r="BUC117" s="23" t="s">
        <v>257</v>
      </c>
      <c r="BUD117" s="23" t="str">
        <f t="shared" ca="1" si="61"/>
        <v>calc</v>
      </c>
      <c r="BUE117" s="23">
        <f ca="1">_xlfn.SHEET( calc!$NTP$1000000)</f>
        <v>4</v>
      </c>
      <c r="BUG117" s="23">
        <f>calc!$NTP$1000000</f>
        <v>0</v>
      </c>
      <c r="BUH117" s="36" t="s">
        <v>262</v>
      </c>
      <c r="BUI117" s="36" t="s">
        <v>262</v>
      </c>
      <c r="BUJ117" s="36" t="s">
        <v>262</v>
      </c>
      <c r="BUK117" s="36" t="s">
        <v>262</v>
      </c>
      <c r="BUL117" s="36" t="s">
        <v>262</v>
      </c>
      <c r="BUM117" s="36" t="s">
        <v>262</v>
      </c>
      <c r="BUN117" s="36" t="s">
        <v>262</v>
      </c>
      <c r="BUO117" s="36" t="s">
        <v>262</v>
      </c>
      <c r="BUP117" s="36" t="s">
        <v>262</v>
      </c>
      <c r="BUQ117" s="36" t="s">
        <v>262</v>
      </c>
      <c r="BUR117" s="36" t="s">
        <v>262</v>
      </c>
      <c r="BUS117" s="36" t="s">
        <v>262</v>
      </c>
    </row>
    <row r="118" spans="1901:1917">
      <c r="BUC118" s="23" t="s">
        <v>257</v>
      </c>
      <c r="BUD118" s="23" t="str">
        <f t="shared" ca="1" si="61"/>
        <v>calc</v>
      </c>
      <c r="BUE118" s="23">
        <f ca="1">_xlfn.SHEET( calc!$NTP$1000000)</f>
        <v>4</v>
      </c>
      <c r="BUG118" s="23">
        <f>calc!$NTP$1000000</f>
        <v>0</v>
      </c>
      <c r="BUH118" s="36" t="str">
        <f>CONCATENATE(BUH117," ",BUH119)</f>
        <v>Var 1</v>
      </c>
      <c r="BUI118" s="36" t="str">
        <f t="shared" ref="BUI118:BUS118" si="77">CONCATENATE(BUI117," ",BUI119)</f>
        <v>Var 2</v>
      </c>
      <c r="BUJ118" s="36" t="str">
        <f t="shared" si="77"/>
        <v>Var 3</v>
      </c>
      <c r="BUK118" s="36" t="str">
        <f t="shared" si="77"/>
        <v>Var 4</v>
      </c>
      <c r="BUL118" s="36" t="str">
        <f t="shared" si="77"/>
        <v>Var 5</v>
      </c>
      <c r="BUM118" s="36" t="str">
        <f t="shared" si="77"/>
        <v>Var 6</v>
      </c>
      <c r="BUN118" s="36" t="str">
        <f t="shared" si="77"/>
        <v>Var 7</v>
      </c>
      <c r="BUO118" s="36" t="str">
        <f t="shared" si="77"/>
        <v>Var 8</v>
      </c>
      <c r="BUP118" s="36" t="str">
        <f t="shared" si="77"/>
        <v>Var 9</v>
      </c>
      <c r="BUQ118" s="36" t="str">
        <f t="shared" si="77"/>
        <v>Var 10</v>
      </c>
      <c r="BUR118" s="36" t="str">
        <f t="shared" si="77"/>
        <v>Var 11</v>
      </c>
      <c r="BUS118" s="36" t="str">
        <f t="shared" si="77"/>
        <v>Var 12</v>
      </c>
    </row>
    <row r="119" spans="1901:1917">
      <c r="BUC119" s="23" t="s">
        <v>257</v>
      </c>
      <c r="BUD119" s="23" t="str">
        <f t="shared" ca="1" si="61"/>
        <v>calc</v>
      </c>
      <c r="BUE119" s="23">
        <f ca="1">_xlfn.SHEET( calc!$NTP$1000000)</f>
        <v>4</v>
      </c>
      <c r="BUG119" s="23">
        <f>calc!$NTP$1000000</f>
        <v>0</v>
      </c>
      <c r="BUH119" s="37">
        <f>BUH98</f>
        <v>1</v>
      </c>
      <c r="BUI119" s="37">
        <f t="shared" ref="BUI119:BUS119" si="78">BUI98</f>
        <v>2</v>
      </c>
      <c r="BUJ119" s="37">
        <f t="shared" si="78"/>
        <v>3</v>
      </c>
      <c r="BUK119" s="37">
        <f t="shared" si="78"/>
        <v>4</v>
      </c>
      <c r="BUL119" s="37">
        <f t="shared" si="78"/>
        <v>5</v>
      </c>
      <c r="BUM119" s="37">
        <f t="shared" si="78"/>
        <v>6</v>
      </c>
      <c r="BUN119" s="37">
        <f t="shared" si="78"/>
        <v>7</v>
      </c>
      <c r="BUO119" s="37">
        <f t="shared" si="78"/>
        <v>8</v>
      </c>
      <c r="BUP119" s="37">
        <f t="shared" si="78"/>
        <v>9</v>
      </c>
      <c r="BUQ119" s="37">
        <f t="shared" si="78"/>
        <v>10</v>
      </c>
      <c r="BUR119" s="37">
        <f t="shared" si="78"/>
        <v>11</v>
      </c>
      <c r="BUS119" s="37">
        <f t="shared" si="78"/>
        <v>12</v>
      </c>
    </row>
    <row r="120" spans="1901:1917">
      <c r="BUC120" s="23" t="s">
        <v>257</v>
      </c>
      <c r="BUD120" s="23" t="str">
        <f t="shared" ca="1" si="61"/>
        <v>calc</v>
      </c>
      <c r="BUE120" s="23">
        <f ca="1">_xlfn.SHEET( calc!$NTP$1000000)</f>
        <v>4</v>
      </c>
      <c r="BUG120" s="23">
        <f>calc!$NTP$1000000</f>
        <v>0</v>
      </c>
      <c r="BUH120" s="38">
        <f t="shared" ref="BUH120:BUS120" si="79">MAX(BUH93:BUH94)</f>
        <v>4501</v>
      </c>
      <c r="BUI120" s="38">
        <f t="shared" si="79"/>
        <v>4800</v>
      </c>
      <c r="BUJ120" s="38">
        <f t="shared" si="79"/>
        <v>4300</v>
      </c>
      <c r="BUK120" s="38">
        <f t="shared" si="79"/>
        <v>5100</v>
      </c>
      <c r="BUL120" s="38">
        <f t="shared" si="79"/>
        <v>4800</v>
      </c>
      <c r="BUM120" s="38">
        <f t="shared" si="79"/>
        <v>5200</v>
      </c>
      <c r="BUN120" s="38">
        <f t="shared" si="79"/>
        <v>5100</v>
      </c>
      <c r="BUO120" s="38">
        <f t="shared" si="79"/>
        <v>4100</v>
      </c>
      <c r="BUP120" s="38">
        <f t="shared" si="79"/>
        <v>5200</v>
      </c>
      <c r="BUQ120" s="38">
        <f t="shared" si="79"/>
        <v>5184</v>
      </c>
      <c r="BUR120" s="38">
        <f t="shared" si="79"/>
        <v>4800</v>
      </c>
      <c r="BUS120" s="38">
        <f t="shared" si="79"/>
        <v>4625</v>
      </c>
    </row>
    <row r="121" spans="1901:1917">
      <c r="BUC121" s="23" t="s">
        <v>257</v>
      </c>
      <c r="BUD121" s="23" t="str">
        <f t="shared" ca="1" si="61"/>
        <v>calc</v>
      </c>
      <c r="BUE121" s="23">
        <f ca="1">_xlfn.SHEET( calc!$NTP$1000000)</f>
        <v>4</v>
      </c>
      <c r="BUG121" s="23">
        <f>calc!$NTP$1000000</f>
        <v>0</v>
      </c>
      <c r="BUH121" s="39">
        <f t="shared" ref="BUH121:BUS121" si="80">IF(BUH94-BUH93=0,"",BUH94-BUH93)</f>
        <v>-1500</v>
      </c>
      <c r="BUI121" s="39">
        <f t="shared" si="80"/>
        <v>-1741</v>
      </c>
      <c r="BUJ121" s="39">
        <f t="shared" si="80"/>
        <v>-1260</v>
      </c>
      <c r="BUK121" s="39">
        <f t="shared" si="80"/>
        <v>-2126</v>
      </c>
      <c r="BUL121" s="39">
        <f t="shared" si="80"/>
        <v>-1821</v>
      </c>
      <c r="BUM121" s="39">
        <f t="shared" si="80"/>
        <v>-2207</v>
      </c>
      <c r="BUN121" s="39">
        <f t="shared" si="80"/>
        <v>-2080</v>
      </c>
      <c r="BUO121" s="39">
        <f t="shared" si="80"/>
        <v>-1013</v>
      </c>
      <c r="BUP121" s="39">
        <f t="shared" si="80"/>
        <v>-1936</v>
      </c>
      <c r="BUQ121" s="39">
        <f t="shared" si="80"/>
        <v>-2245</v>
      </c>
      <c r="BUR121" s="39">
        <f t="shared" si="80"/>
        <v>-2006</v>
      </c>
      <c r="BUS121" s="39">
        <f t="shared" si="80"/>
        <v>-1957</v>
      </c>
    </row>
  </sheetData>
  <pageMargins left="0.7" right="0.7" top="0.75" bottom="0.75" header="0.3" footer="0.3"/>
  <pageSetup orientation="portrait" horizontalDpi="1200" verticalDpi="1200" r:id="rId1"/>
</worksheet>
</file>

<file path=customUI/_rels/customUI14.xml.rels><?xml version="1.0" encoding="UTF-8" standalone="yes"?>
<Relationships xmlns="http://schemas.openxmlformats.org/package/2006/relationships"><Relationship Id="design" Type="http://schemas.openxmlformats.org/officeDocument/2006/relationships/image" Target="images/5e58317e-0ab1-466e-a1bc-c16f9f5acf43.png"/><Relationship Id="dial1" Type="http://schemas.openxmlformats.org/officeDocument/2006/relationships/image" Target="images/afb0d2f0-95c0-447c-b983-95b446bbdcd1.png"/><Relationship Id="data" Type="http://schemas.openxmlformats.org/officeDocument/2006/relationships/image" Target="images/86769140-8cde-4474-a49c-43c2835aa3bd.png"/><Relationship Id="info" Type="http://schemas.openxmlformats.org/officeDocument/2006/relationships/image" Target="images/239eefc1-6e69-4442-af66-b1e0d4d86f74.png"/><Relationship Id="waternew2" Type="http://schemas.openxmlformats.org/officeDocument/2006/relationships/image" Target="images/8aa0fd19-2245-4891-b6d9-7731ee63884f.png"/><Relationship Id="s1cuie" Type="http://schemas.openxmlformats.org/officeDocument/2006/relationships/image" Target="images/s1cuie.rcr"/></Relationships>
</file>

<file path=customUI/customUI14.xml><?xml version="1.0" encoding="utf-8"?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customUI xmlns="http://schemas.microsoft.com/office/2009/07/customui">
  <ribbon>
    <tabs>
      <tab id="customTab" label="Financial Dashboard" insertAfterMso="TabDeveloper">
        <group id="customGroup" label="Free Dashboards - ExcelDashboardSchool.com">
          <button id="customButton38" label="Data Sheet" size="large" onAction="ShowSetup2" image="data"/>
          <button id="customButton2" label="Dashboard" size="large" onAction="ShowDashboard" image="dial1"/>
          <button id="customButton27" label="Calc Sheet" size="large" onAction="ShowCalcSheet2" image="design"/>
          <button id="customButton28" label="About" size="large" onAction="ShowAbout" image="info"/>
        </group>
      </tab>
    </tabs>
  </ribbon>
</customUI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!--Obfuscated by Unviewable+ VBA--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Veriler</vt:lpstr>
      <vt:lpstr>calc</vt:lpstr>
      <vt:lpstr>Statement</vt:lpstr>
      <vt:lpstr>ChartsDataSheet</vt:lpstr>
      <vt:lpstr>ListMonths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2017-09-12T19:09:04Z</dcterms:created>
  <dcterms:modified xsi:type="dcterms:W3CDTF">2023-04-20T09:58:30Z</dcterms:modified>
</cp:coreProperties>
</file>